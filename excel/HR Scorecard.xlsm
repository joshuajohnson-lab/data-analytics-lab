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22bbb91480d642c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ata Analytics\A&amp;B\"/>
    </mc:Choice>
  </mc:AlternateContent>
  <xr:revisionPtr revIDLastSave="0" documentId="13_ncr:1_{B54D98A5-1D33-4BB2-AD27-C9D7118220FE}" xr6:coauthVersionLast="47" xr6:coauthVersionMax="47" xr10:uidLastSave="{00000000-0000-0000-0000-000000000000}"/>
  <bookViews>
    <workbookView xWindow="-108" yWindow="-108" windowWidth="23256" windowHeight="12456" tabRatio="603" activeTab="4" xr2:uid="{00000000-000D-0000-FFFF-FFFF00000000}"/>
  </bookViews>
  <sheets>
    <sheet name="KPIs" sheetId="2" r:id="rId1"/>
    <sheet name="Variance Calculation" sheetId="12" r:id="rId2"/>
    <sheet name="Dashboard - HR Metrics" sheetId="1" r:id="rId3"/>
    <sheet name="Dashboard - Budget vs Actual" sheetId="18" r:id="rId4"/>
    <sheet name="Annual Budget" sheetId="14" r:id="rId5"/>
    <sheet name="Actuals" sheetId="17" r:id="rId6"/>
    <sheet name="calc" sheetId="11" state="hidden" r:id="rId7"/>
  </sheets>
  <definedNames>
    <definedName name="Months">'Variance Calculation'!$E$5:$P$5</definedName>
  </definedNames>
  <calcPr calcId="191029"/>
</workbook>
</file>

<file path=xl/calcChain.xml><?xml version="1.0" encoding="utf-8"?>
<calcChain xmlns="http://schemas.openxmlformats.org/spreadsheetml/2006/main">
  <c r="D3" i="17" l="1"/>
  <c r="C9" i="18"/>
  <c r="C10" i="18"/>
  <c r="D10" i="18"/>
  <c r="C11" i="18"/>
  <c r="D11" i="18"/>
  <c r="C12" i="18"/>
  <c r="C13" i="18"/>
  <c r="D13" i="18"/>
  <c r="C14" i="18"/>
  <c r="D14" i="18"/>
  <c r="C15" i="18"/>
  <c r="D15" i="18"/>
  <c r="C16" i="18"/>
  <c r="D16" i="18"/>
  <c r="C17" i="18"/>
  <c r="D17" i="18"/>
  <c r="C18" i="18"/>
  <c r="D18" i="18"/>
  <c r="C19" i="18"/>
  <c r="D19" i="18"/>
  <c r="C8" i="18"/>
  <c r="D12" i="18"/>
  <c r="D9" i="18"/>
  <c r="D8" i="18"/>
  <c r="P17" i="12"/>
  <c r="O17" i="12"/>
  <c r="N17" i="12"/>
  <c r="M17" i="12"/>
  <c r="L17" i="12"/>
  <c r="K17" i="12"/>
  <c r="J17" i="12"/>
  <c r="I17" i="12"/>
  <c r="H17" i="12"/>
  <c r="G17" i="12"/>
  <c r="F17" i="12"/>
  <c r="E17" i="12"/>
  <c r="P16" i="12"/>
  <c r="O16" i="12"/>
  <c r="N16" i="12"/>
  <c r="M16" i="12"/>
  <c r="L16" i="12"/>
  <c r="K16" i="12"/>
  <c r="J16" i="12"/>
  <c r="I16" i="12"/>
  <c r="H16" i="12"/>
  <c r="G16" i="12"/>
  <c r="F16" i="12"/>
  <c r="E16" i="12"/>
  <c r="C16" i="12"/>
  <c r="B20" i="1" s="1"/>
  <c r="C17" i="12"/>
  <c r="F20" i="1" s="1"/>
  <c r="F10" i="12"/>
  <c r="L10" i="12"/>
  <c r="M10" i="12"/>
  <c r="G10" i="12"/>
  <c r="O10" i="12"/>
  <c r="P10" i="12"/>
  <c r="E20" i="2"/>
  <c r="F20" i="2"/>
  <c r="G20" i="2"/>
  <c r="H20" i="2"/>
  <c r="I20" i="2"/>
  <c r="J20" i="2"/>
  <c r="K20" i="2"/>
  <c r="L20" i="2"/>
  <c r="M20" i="2"/>
  <c r="N20" i="2"/>
  <c r="O20" i="2"/>
  <c r="P20" i="2"/>
  <c r="G9" i="18" l="1"/>
  <c r="F18" i="18"/>
  <c r="F16" i="18"/>
  <c r="G14" i="18"/>
  <c r="G12" i="18"/>
  <c r="G10" i="18"/>
  <c r="F8" i="18"/>
  <c r="F15" i="18"/>
  <c r="G13" i="18"/>
  <c r="G11" i="18"/>
  <c r="F9" i="18"/>
  <c r="G8" i="18"/>
  <c r="F10" i="18"/>
  <c r="F19" i="18"/>
  <c r="F17" i="18"/>
  <c r="G15" i="18"/>
  <c r="F13" i="18"/>
  <c r="F11" i="18"/>
  <c r="G19" i="18"/>
  <c r="G17" i="18"/>
  <c r="G18" i="18"/>
  <c r="G16" i="18"/>
  <c r="F14" i="18"/>
  <c r="F12" i="18"/>
  <c r="R4" i="12"/>
  <c r="F6" i="12"/>
  <c r="G6" i="12"/>
  <c r="H6" i="12"/>
  <c r="I6" i="12"/>
  <c r="J6" i="12"/>
  <c r="K6" i="12"/>
  <c r="L6" i="12"/>
  <c r="M6" i="12"/>
  <c r="N6" i="12"/>
  <c r="O6" i="12"/>
  <c r="P6" i="12"/>
  <c r="F7" i="12"/>
  <c r="G7" i="12"/>
  <c r="H7" i="12"/>
  <c r="I7" i="12"/>
  <c r="J7" i="12"/>
  <c r="K7" i="12"/>
  <c r="L7" i="12"/>
  <c r="M7" i="12"/>
  <c r="N7" i="12"/>
  <c r="O7" i="12"/>
  <c r="P7" i="12"/>
  <c r="F8" i="12"/>
  <c r="G8" i="12"/>
  <c r="H8" i="12"/>
  <c r="I8" i="12"/>
  <c r="J8" i="12"/>
  <c r="K8" i="12"/>
  <c r="L8" i="12"/>
  <c r="M8" i="12"/>
  <c r="N8" i="12"/>
  <c r="O8" i="12"/>
  <c r="P8" i="12"/>
  <c r="F9" i="12"/>
  <c r="G9" i="12"/>
  <c r="H9" i="12"/>
  <c r="I9" i="12"/>
  <c r="J9" i="12"/>
  <c r="K9" i="12"/>
  <c r="L9" i="12"/>
  <c r="M9" i="12"/>
  <c r="N9" i="12"/>
  <c r="O9" i="12"/>
  <c r="P9" i="12"/>
  <c r="H10" i="12"/>
  <c r="I10" i="12"/>
  <c r="J10" i="12"/>
  <c r="K10" i="12"/>
  <c r="N10" i="12"/>
  <c r="F11" i="12"/>
  <c r="G11" i="12"/>
  <c r="H11" i="12"/>
  <c r="I11" i="12"/>
  <c r="J11" i="12"/>
  <c r="K11" i="12"/>
  <c r="L11" i="12"/>
  <c r="M11" i="12"/>
  <c r="N11" i="12"/>
  <c r="O11" i="12"/>
  <c r="P11" i="12"/>
  <c r="I12" i="12"/>
  <c r="K12" i="12"/>
  <c r="M12" i="12"/>
  <c r="N12" i="12"/>
  <c r="P12" i="12"/>
  <c r="F13" i="12"/>
  <c r="G13" i="12"/>
  <c r="H13" i="12"/>
  <c r="I13" i="12"/>
  <c r="J13" i="12"/>
  <c r="K13" i="12"/>
  <c r="L13" i="12"/>
  <c r="M13" i="12"/>
  <c r="N13" i="12"/>
  <c r="O13" i="12"/>
  <c r="P13" i="12"/>
  <c r="F14" i="12"/>
  <c r="G14" i="12"/>
  <c r="H14" i="12"/>
  <c r="I14" i="12"/>
  <c r="J14" i="12"/>
  <c r="K14" i="12"/>
  <c r="L14" i="12"/>
  <c r="M14" i="12"/>
  <c r="N14" i="12"/>
  <c r="O14" i="12"/>
  <c r="P14" i="12"/>
  <c r="F15" i="12"/>
  <c r="G15" i="12"/>
  <c r="H15" i="12"/>
  <c r="I15" i="12"/>
  <c r="J15" i="12"/>
  <c r="K15" i="12"/>
  <c r="L15" i="12"/>
  <c r="M15" i="12"/>
  <c r="N15" i="12"/>
  <c r="O15" i="12"/>
  <c r="P15" i="12"/>
  <c r="F19" i="12"/>
  <c r="G19" i="12"/>
  <c r="H19" i="12"/>
  <c r="I19" i="12"/>
  <c r="J19" i="12"/>
  <c r="K19" i="12"/>
  <c r="L19" i="12"/>
  <c r="M19" i="12"/>
  <c r="N19" i="12"/>
  <c r="O19" i="12"/>
  <c r="P19" i="12"/>
  <c r="F20" i="12"/>
  <c r="G20" i="12"/>
  <c r="H20" i="12"/>
  <c r="I20" i="12"/>
  <c r="J20" i="12"/>
  <c r="K20" i="12"/>
  <c r="L20" i="12"/>
  <c r="M20" i="12"/>
  <c r="N20" i="12"/>
  <c r="O20" i="12"/>
  <c r="P20" i="12"/>
  <c r="F21" i="12"/>
  <c r="G21" i="12"/>
  <c r="H21" i="12"/>
  <c r="I21" i="12"/>
  <c r="J21" i="12"/>
  <c r="K21" i="12"/>
  <c r="L21" i="12"/>
  <c r="M21" i="12"/>
  <c r="N21" i="12"/>
  <c r="O21" i="12"/>
  <c r="P21" i="12"/>
  <c r="F22" i="12"/>
  <c r="G22" i="12"/>
  <c r="H22" i="12"/>
  <c r="I22" i="12"/>
  <c r="J22" i="12"/>
  <c r="K22" i="12"/>
  <c r="L22" i="12"/>
  <c r="M22" i="12"/>
  <c r="N22" i="12"/>
  <c r="O22" i="12"/>
  <c r="P22" i="12"/>
  <c r="F23" i="12"/>
  <c r="G23" i="12"/>
  <c r="H23" i="12"/>
  <c r="I23" i="12"/>
  <c r="J23" i="12"/>
  <c r="K23" i="12"/>
  <c r="L23" i="12"/>
  <c r="M23" i="12"/>
  <c r="N23" i="12"/>
  <c r="O23" i="12"/>
  <c r="P23" i="12"/>
  <c r="E7" i="12"/>
  <c r="E8" i="12"/>
  <c r="E9" i="12"/>
  <c r="E10" i="12"/>
  <c r="E11" i="12"/>
  <c r="E12" i="12"/>
  <c r="E13" i="12"/>
  <c r="E14" i="12"/>
  <c r="E15" i="12"/>
  <c r="E19" i="12"/>
  <c r="E20" i="12"/>
  <c r="E21" i="12"/>
  <c r="E22" i="12"/>
  <c r="E23" i="12"/>
  <c r="E6" i="12"/>
  <c r="C7" i="12"/>
  <c r="F8" i="1" s="1"/>
  <c r="C8" i="12"/>
  <c r="L8" i="1" s="1"/>
  <c r="C9" i="12"/>
  <c r="P8" i="1" s="1"/>
  <c r="C10" i="12"/>
  <c r="T8" i="1" s="1"/>
  <c r="C11" i="12"/>
  <c r="B14" i="1" s="1"/>
  <c r="C12" i="12"/>
  <c r="F14" i="1" s="1"/>
  <c r="C13" i="12"/>
  <c r="L14" i="1" s="1"/>
  <c r="C14" i="12"/>
  <c r="P14" i="1" s="1"/>
  <c r="C15" i="12"/>
  <c r="T14" i="1" s="1"/>
  <c r="C19" i="12"/>
  <c r="B3" i="1" s="1"/>
  <c r="C20" i="12"/>
  <c r="F3" i="1" s="1"/>
  <c r="C21" i="12"/>
  <c r="C22" i="12"/>
  <c r="C23" i="12"/>
  <c r="C24" i="12"/>
  <c r="T3" i="1" s="1"/>
  <c r="C6" i="12"/>
  <c r="B22" i="12"/>
  <c r="B19" i="12"/>
  <c r="B7" i="12"/>
  <c r="B8" i="12"/>
  <c r="B9" i="12"/>
  <c r="B10" i="12"/>
  <c r="B11" i="12"/>
  <c r="B12" i="12"/>
  <c r="B13" i="12"/>
  <c r="B14" i="12"/>
  <c r="B15" i="12"/>
  <c r="B6" i="12"/>
  <c r="F5" i="12"/>
  <c r="G5" i="12"/>
  <c r="H5" i="12"/>
  <c r="I5" i="12"/>
  <c r="J5" i="12"/>
  <c r="K5" i="12"/>
  <c r="L5" i="12"/>
  <c r="M5" i="12"/>
  <c r="N5" i="12"/>
  <c r="O5" i="12"/>
  <c r="P5" i="12"/>
  <c r="E5" i="12"/>
  <c r="C5" i="12"/>
  <c r="B5" i="12"/>
  <c r="C17" i="11"/>
  <c r="C16" i="11"/>
  <c r="C15" i="11"/>
  <c r="C10" i="11"/>
  <c r="C11" i="11"/>
  <c r="C12" i="11"/>
  <c r="C13" i="11"/>
  <c r="C9" i="11"/>
  <c r="C8" i="11"/>
  <c r="C7" i="11"/>
  <c r="C6" i="11"/>
  <c r="C5" i="11"/>
  <c r="C4" i="11"/>
  <c r="B8" i="1" s="1"/>
  <c r="F3" i="11"/>
  <c r="G3" i="11" s="1"/>
  <c r="T17" i="12" l="1"/>
  <c r="V17" i="12"/>
  <c r="T16" i="12"/>
  <c r="V16" i="12"/>
  <c r="L28" i="12"/>
  <c r="P3" i="1"/>
  <c r="V7" i="12"/>
  <c r="V11" i="12"/>
  <c r="V15" i="12"/>
  <c r="V22" i="12"/>
  <c r="V21" i="12"/>
  <c r="V8" i="12"/>
  <c r="V12" i="12"/>
  <c r="V19" i="12"/>
  <c r="V23" i="12"/>
  <c r="V14" i="12"/>
  <c r="V9" i="12"/>
  <c r="V13" i="12"/>
  <c r="V20" i="12"/>
  <c r="V10" i="12"/>
  <c r="V6" i="12"/>
  <c r="T22" i="12"/>
  <c r="R29" i="12" s="1"/>
  <c r="T15" i="12"/>
  <c r="T11" i="12"/>
  <c r="T7" i="12"/>
  <c r="T6" i="12"/>
  <c r="T21" i="12"/>
  <c r="P29" i="12" s="1"/>
  <c r="P30" i="12" s="1"/>
  <c r="T14" i="12"/>
  <c r="T10" i="12"/>
  <c r="T20" i="12"/>
  <c r="J29" i="12" s="1"/>
  <c r="J30" i="12" s="1"/>
  <c r="T13" i="12"/>
  <c r="T9" i="12"/>
  <c r="T23" i="12"/>
  <c r="T19" i="12"/>
  <c r="D29" i="12" s="1"/>
  <c r="D30" i="12" s="1"/>
  <c r="T12" i="12"/>
  <c r="T8" i="12"/>
  <c r="G7" i="11"/>
  <c r="G11" i="11"/>
  <c r="G16" i="11"/>
  <c r="G4" i="11"/>
  <c r="G8" i="11"/>
  <c r="G12" i="11"/>
  <c r="G17" i="11"/>
  <c r="G6" i="11"/>
  <c r="G10" i="11"/>
  <c r="G15" i="11"/>
  <c r="G19" i="11"/>
  <c r="G5" i="11"/>
  <c r="G9" i="11"/>
  <c r="G13" i="11"/>
  <c r="G18" i="11"/>
  <c r="F16" i="11"/>
  <c r="F11" i="11"/>
  <c r="F9" i="11"/>
  <c r="F5" i="11"/>
  <c r="F19" i="11"/>
  <c r="F17" i="11"/>
  <c r="F15" i="11"/>
  <c r="F12" i="11"/>
  <c r="F10" i="11"/>
  <c r="F8" i="11"/>
  <c r="F6" i="11"/>
  <c r="F4" i="11"/>
  <c r="F18" i="11"/>
  <c r="F13" i="11"/>
  <c r="F7" i="11"/>
  <c r="R17" i="12" l="1"/>
  <c r="R16" i="12"/>
  <c r="H10" i="11"/>
  <c r="R12" i="12"/>
  <c r="H5" i="11"/>
  <c r="H13" i="11"/>
  <c r="R23" i="12"/>
  <c r="R30" i="12"/>
  <c r="R9" i="12"/>
  <c r="R10" i="12"/>
  <c r="R15" i="12"/>
  <c r="R7" i="12"/>
  <c r="R8" i="12"/>
  <c r="R14" i="12"/>
  <c r="R11" i="12"/>
  <c r="R13" i="12"/>
  <c r="R19" i="12"/>
  <c r="R20" i="12"/>
  <c r="R21" i="12"/>
  <c r="R22" i="12"/>
  <c r="R6" i="12"/>
  <c r="H7" i="11"/>
  <c r="H16" i="11"/>
  <c r="H12" i="11"/>
  <c r="H8" i="11"/>
  <c r="H15" i="11"/>
  <c r="H9" i="11"/>
  <c r="H17" i="11"/>
  <c r="H6" i="11"/>
  <c r="H18" i="11"/>
  <c r="H11" i="11"/>
  <c r="H19" i="11"/>
  <c r="H4" i="11"/>
  <c r="E24" i="12" l="1"/>
  <c r="M24" i="12" l="1"/>
  <c r="I24" i="12"/>
  <c r="O24" i="12"/>
  <c r="K24" i="12"/>
  <c r="N24" i="12"/>
  <c r="F24" i="12"/>
  <c r="P24" i="12"/>
  <c r="L24" i="12"/>
  <c r="J24" i="12"/>
  <c r="H24" i="12" l="1"/>
  <c r="T24" i="12" s="1"/>
  <c r="F20" i="11"/>
  <c r="G24" i="12"/>
  <c r="V24" i="12" s="1"/>
  <c r="G20" i="11"/>
  <c r="C91" i="1"/>
  <c r="D91" i="1"/>
  <c r="E91" i="1"/>
  <c r="F91" i="1"/>
  <c r="G91" i="1"/>
  <c r="H91" i="1"/>
  <c r="I91" i="1"/>
  <c r="J91" i="1"/>
  <c r="K91" i="1"/>
  <c r="L91" i="1"/>
  <c r="M91" i="1"/>
  <c r="N91" i="1"/>
  <c r="O91" i="1"/>
  <c r="S1" i="2"/>
  <c r="Q13" i="2" s="1"/>
  <c r="D83" i="1"/>
  <c r="D84" i="1"/>
  <c r="D85" i="1"/>
  <c r="D86" i="1"/>
  <c r="D87" i="1"/>
  <c r="S14" i="2" l="1"/>
  <c r="Q14" i="2"/>
  <c r="F21" i="1" s="1"/>
  <c r="S13" i="2"/>
  <c r="B21" i="1"/>
  <c r="R24" i="12"/>
  <c r="H20" i="11"/>
  <c r="Q3" i="2"/>
  <c r="B9" i="1" s="1"/>
  <c r="S3" i="2"/>
  <c r="D88" i="1" s="1"/>
  <c r="Q4" i="2"/>
  <c r="F9" i="1" s="1"/>
  <c r="Q6" i="2"/>
  <c r="P9" i="1" s="1"/>
  <c r="Q8" i="2"/>
  <c r="B15" i="1" s="1"/>
  <c r="Q10" i="2"/>
  <c r="L15" i="1" s="1"/>
  <c r="Q12" i="2"/>
  <c r="T15" i="1" s="1"/>
  <c r="Q16" i="2"/>
  <c r="D25" i="11" s="1"/>
  <c r="E25" i="11" s="1"/>
  <c r="Q18" i="2"/>
  <c r="Q20" i="2"/>
  <c r="S6" i="2"/>
  <c r="S8" i="2"/>
  <c r="S10" i="2"/>
  <c r="S12" i="2"/>
  <c r="S16" i="2"/>
  <c r="S18" i="2"/>
  <c r="S20" i="2"/>
  <c r="Q5" i="2"/>
  <c r="D76" i="1" s="1"/>
  <c r="Q7" i="2"/>
  <c r="T9" i="1" s="1"/>
  <c r="Q9" i="2"/>
  <c r="F15" i="1" s="1"/>
  <c r="Q11" i="2"/>
  <c r="P15" i="1" s="1"/>
  <c r="Q15" i="2"/>
  <c r="D24" i="11" s="1"/>
  <c r="Q17" i="2"/>
  <c r="D26" i="11" s="1"/>
  <c r="E26" i="11" s="1"/>
  <c r="Q19" i="2"/>
  <c r="S5" i="2"/>
  <c r="S7" i="2"/>
  <c r="S9" i="2"/>
  <c r="S11" i="2"/>
  <c r="S15" i="2"/>
  <c r="S17" i="2"/>
  <c r="S19" i="2"/>
  <c r="S4" i="2"/>
  <c r="L9" i="1" l="1"/>
  <c r="E24" i="11"/>
  <c r="D77" i="1"/>
  <c r="E75" i="1" s="1"/>
  <c r="E76" i="1" l="1"/>
</calcChain>
</file>

<file path=xl/sharedStrings.xml><?xml version="1.0" encoding="utf-8"?>
<sst xmlns="http://schemas.openxmlformats.org/spreadsheetml/2006/main" count="183" uniqueCount="115">
  <si>
    <t>Jan</t>
  </si>
  <si>
    <t>Feb</t>
  </si>
  <si>
    <t>Mar</t>
  </si>
  <si>
    <t>F</t>
  </si>
  <si>
    <t xml:space="preserve">M </t>
  </si>
  <si>
    <t>Apr</t>
  </si>
  <si>
    <t>Jun</t>
  </si>
  <si>
    <t>Jul</t>
  </si>
  <si>
    <t>Aug</t>
  </si>
  <si>
    <t>May</t>
  </si>
  <si>
    <t>Sep</t>
  </si>
  <si>
    <t>Oct</t>
  </si>
  <si>
    <t>Nov</t>
  </si>
  <si>
    <t>Dec</t>
  </si>
  <si>
    <t>Total</t>
  </si>
  <si>
    <t>Permanent</t>
  </si>
  <si>
    <t>Student</t>
  </si>
  <si>
    <t>Part Time</t>
  </si>
  <si>
    <t>Headcount</t>
  </si>
  <si>
    <t>Temporary/contract</t>
  </si>
  <si>
    <t>Full Time</t>
  </si>
  <si>
    <t>Actual</t>
  </si>
  <si>
    <t>Selected Month</t>
  </si>
  <si>
    <t>KPI</t>
  </si>
  <si>
    <t>90-day quit rate (%)</t>
  </si>
  <si>
    <t>Training effectiveness (%)</t>
  </si>
  <si>
    <t>Acceptance Ratio (%)</t>
  </si>
  <si>
    <t>Chart Data</t>
  </si>
  <si>
    <t>Reminder</t>
  </si>
  <si>
    <t>Female</t>
  </si>
  <si>
    <t xml:space="preserve"> </t>
  </si>
  <si>
    <t>Male</t>
  </si>
  <si>
    <t>Progress Chart</t>
  </si>
  <si>
    <t>Chart</t>
  </si>
  <si>
    <t>Var.</t>
  </si>
  <si>
    <t>Selected month</t>
  </si>
  <si>
    <t>Variance (T-1)</t>
  </si>
  <si>
    <t>Actual value</t>
  </si>
  <si>
    <t>T-1 Value</t>
  </si>
  <si>
    <t>Calculation for progress charts</t>
  </si>
  <si>
    <t>#</t>
  </si>
  <si>
    <t>Cost Per Hire</t>
  </si>
  <si>
    <t>(internal recruiting costs + external recruiting costs) / # of hires</t>
  </si>
  <si>
    <t>(# of employees at Point B - # of employees at Point A) / # of employees at Point A) x 100</t>
  </si>
  <si>
    <t>(# of absences / # of expected workdays) x 100</t>
  </si>
  <si>
    <t>(# of employee departures / # of employees at outset) x 100</t>
  </si>
  <si>
    <t>Salary Averages</t>
  </si>
  <si>
    <t>Salary Range Penetration</t>
  </si>
  <si>
    <t>{(current salary - range min) / rang max - range min)} x 100</t>
  </si>
  <si>
    <t>(acceptances / offers) x 100
Ratio of number of offers released and number of offers accepted</t>
  </si>
  <si>
    <t>Number of male employees in the organisation</t>
  </si>
  <si>
    <t>Number of female employees in the organisation</t>
  </si>
  <si>
    <t>Number of employees in a period</t>
  </si>
  <si>
    <t>Time to Hire (days per hire)</t>
  </si>
  <si>
    <t>Remainder</t>
  </si>
  <si>
    <t>Diversity Ratio</t>
  </si>
  <si>
    <t>Employee Net Promoter Score (%)</t>
  </si>
  <si>
    <t>Absenteeism Rate (%)</t>
  </si>
  <si>
    <t>Employee Growth Rate (%)</t>
  </si>
  <si>
    <t>Employee Turnover Rate (%)</t>
  </si>
  <si>
    <t>Attrition Risk (Critical Staff)</t>
  </si>
  <si>
    <t>Time taken between employee contact (with recruiting process) and offer acceptance</t>
  </si>
  <si>
    <t>{(# of promotors - # of detractors) / # of respondents} x 100
(Done with the help of anonymous survey)</t>
  </si>
  <si>
    <t>sum of all salaries within category (or accumulated) / number of employees in the category (or accumulated)</t>
  </si>
  <si>
    <t>HCRI</t>
  </si>
  <si>
    <t>(Critical Staff Hired vs Required) x 100
Another method is: Current competency of the individuals in the fuction vs competencies required in the function 
{(Current Competancy / Expected Competancy) x 100}</t>
  </si>
  <si>
    <t>One way would be to calculate ops expenditure before the training and after the training. Subtraction is the effectiveness of the training. 
Best would be to compare the result with the benchmark 
{(Result / Benchmark) x 100}.</t>
  </si>
  <si>
    <t>Quality of hire (out of 10)</t>
  </si>
  <si>
    <t>(indicator A + indicator B + indicator C +…) / # of indicators
Indicators may vary from org to org as per their preference / standards.
(Indicators on a rating scale from 1 to 10)</t>
  </si>
  <si>
    <t>Description / Formula</t>
  </si>
  <si>
    <t>Ratio between any two categories of employees (depends on the criteria)</t>
  </si>
  <si>
    <t>(Sum of scores / # of respondents) x 100
Use Engagement Score (eNPS), Loyalty Score, Growth Score, Participation or Tenure as key factor (for critical staff specifically) by surveying them anonymously. 
Invert the scores and sum them up, divide the sum by the number of respondents.</t>
  </si>
  <si>
    <t>(terminated contracts / new hires) x 100 
In other words, % of employees who leave - voluntarily or involuntarily - within the first three months from date of hire.</t>
  </si>
  <si>
    <t>Do not edit the value fields in this sheet</t>
  </si>
  <si>
    <t>January</t>
  </si>
  <si>
    <t>February</t>
  </si>
  <si>
    <t>March</t>
  </si>
  <si>
    <t>April</t>
  </si>
  <si>
    <t>June</t>
  </si>
  <si>
    <t>July</t>
  </si>
  <si>
    <t>August</t>
  </si>
  <si>
    <t>September</t>
  </si>
  <si>
    <t>October</t>
  </si>
  <si>
    <t>November</t>
  </si>
  <si>
    <t>December</t>
  </si>
  <si>
    <t>Date</t>
  </si>
  <si>
    <t>Sl. No.</t>
  </si>
  <si>
    <t>Select Month</t>
  </si>
  <si>
    <t>Month</t>
  </si>
  <si>
    <t>Attrition (raw)</t>
  </si>
  <si>
    <t>Annualised Attrition rate</t>
  </si>
  <si>
    <t>Critical Hiring</t>
  </si>
  <si>
    <t>Number of People Trained</t>
  </si>
  <si>
    <t>Number of Trainings conducted</t>
  </si>
  <si>
    <t>Succession Plan for Critical Roles</t>
  </si>
  <si>
    <t>Payroll Cost</t>
  </si>
  <si>
    <t>Engagement Score</t>
  </si>
  <si>
    <t>Number of Engagement Activities</t>
  </si>
  <si>
    <t>Number of Nationalities</t>
  </si>
  <si>
    <t>Emiratization</t>
  </si>
  <si>
    <t>Particulars</t>
  </si>
  <si>
    <t>Category</t>
  </si>
  <si>
    <t>Detail (Number, Unit, Rate)</t>
  </si>
  <si>
    <t>Remarks</t>
  </si>
  <si>
    <t>Categories</t>
  </si>
  <si>
    <t>Current Month -&gt;</t>
  </si>
  <si>
    <t>Var (abs)</t>
  </si>
  <si>
    <t>Var %</t>
  </si>
  <si>
    <t>Ideal</t>
  </si>
  <si>
    <t>Ideal vs Actual Dashboard</t>
  </si>
  <si>
    <t>YTD</t>
  </si>
  <si>
    <t>Formula / Description</t>
  </si>
  <si>
    <t>No. of employees in a period</t>
  </si>
  <si>
    <t>Divide the total number of employees leaving by the overall average number of employees</t>
  </si>
  <si>
    <t>IDEAL (BUDGET) TARGETS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</si>
</sst>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_ * #,##0.00_)\ _$_ ;_ * \(#,##0.00\)\ _$_ ;_ * &quot;-&quot;??_)\ _$_ ;_ @_ "/>
    <numFmt numFmtId="165" formatCode="0.0%"/>
    <numFmt numFmtId="166" formatCode="[h]:mm:ss;@"/>
    <numFmt numFmtId="167" formatCode="_ [$AED]\ * #,##0.00_ ;_ [$AED]\ * \-#,##0.00_ ;_ [$AED]\ * &quot;-&quot;??_ ;_ @_ "/>
  </numFmts>
  <fonts count="62" x14ac:knownFonts="1">
    <font>
      <sz val="11"/>
      <color theme="1"/>
      <name val="Calibri"/>
      <family val="2"/>
      <scheme val="minor"/>
    </font>
    <font>
      <sz val="11"/>
      <color theme="1"/>
      <name val="Calibri"/>
      <family val="2"/>
      <scheme val="minor"/>
    </font>
    <font>
      <i/>
      <sz val="11"/>
      <color rgb="FF7F7F7F"/>
      <name val="Calibri"/>
      <family val="2"/>
      <scheme val="minor"/>
    </font>
    <font>
      <sz val="11"/>
      <color rgb="FFFF0000"/>
      <name val="Calibri"/>
      <family val="2"/>
      <scheme val="minor"/>
    </font>
    <font>
      <b/>
      <i/>
      <sz val="11"/>
      <color theme="1" tint="0.249977111117893"/>
      <name val="Segoe UI"/>
      <family val="2"/>
    </font>
    <font>
      <sz val="8"/>
      <name val="Calibri"/>
      <family val="2"/>
      <scheme val="minor"/>
    </font>
    <font>
      <sz val="9"/>
      <color theme="1"/>
      <name val="Calibri"/>
      <family val="2"/>
      <scheme val="minor"/>
    </font>
    <font>
      <i/>
      <sz val="9"/>
      <color theme="1" tint="0.34998626667073579"/>
      <name val="Segoe UI"/>
      <family val="2"/>
    </font>
    <font>
      <i/>
      <sz val="9"/>
      <color theme="1" tint="0.249977111117893"/>
      <name val="Segoe UI"/>
      <family val="2"/>
    </font>
    <font>
      <b/>
      <sz val="9"/>
      <color rgb="FF7F7F7F"/>
      <name val="Segoe UI"/>
      <family val="2"/>
    </font>
    <font>
      <sz val="9"/>
      <color rgb="FF5C6769"/>
      <name val="Segoe UI"/>
      <family val="2"/>
    </font>
    <font>
      <b/>
      <i/>
      <sz val="9"/>
      <color theme="1" tint="0.34998626667073579"/>
      <name val="Segoe UI"/>
      <family val="2"/>
    </font>
    <font>
      <b/>
      <sz val="26"/>
      <color rgb="FF4F83BD"/>
      <name val="Webdings"/>
      <family val="1"/>
      <charset val="2"/>
    </font>
    <font>
      <i/>
      <sz val="10"/>
      <color theme="1" tint="0.34998626667073579"/>
      <name val="Segoe UI"/>
      <family val="2"/>
    </font>
    <font>
      <b/>
      <i/>
      <sz val="10"/>
      <color theme="1" tint="0.34998626667073579"/>
      <name val="Segoe UI"/>
      <family val="2"/>
    </font>
    <font>
      <i/>
      <sz val="9"/>
      <color theme="1"/>
      <name val="Calibri"/>
      <family val="2"/>
      <scheme val="minor"/>
    </font>
    <font>
      <b/>
      <i/>
      <sz val="9"/>
      <color theme="1"/>
      <name val="Segoe UI"/>
      <family val="2"/>
    </font>
    <font>
      <b/>
      <sz val="9"/>
      <color theme="1"/>
      <name val="Calibri"/>
      <family val="2"/>
      <scheme val="minor"/>
    </font>
    <font>
      <b/>
      <i/>
      <sz val="9"/>
      <color theme="1"/>
      <name val="Calibri"/>
      <family val="2"/>
      <scheme val="minor"/>
    </font>
    <font>
      <b/>
      <i/>
      <sz val="10"/>
      <color theme="1" tint="0.499984740745262"/>
      <name val="Segoe UI"/>
      <family val="2"/>
    </font>
    <font>
      <i/>
      <sz val="9"/>
      <color theme="1" tint="0.499984740745262"/>
      <name val="Segoe UI"/>
      <family val="2"/>
    </font>
    <font>
      <sz val="11"/>
      <color theme="0"/>
      <name val="Calibri"/>
      <family val="2"/>
      <scheme val="minor"/>
    </font>
    <font>
      <b/>
      <i/>
      <sz val="10"/>
      <color rgb="FFFF0000"/>
      <name val="Segoe UI"/>
      <family val="2"/>
    </font>
    <font>
      <i/>
      <sz val="9"/>
      <color rgb="FFFF0000"/>
      <name val="Segoe UI"/>
      <family val="2"/>
    </font>
    <font>
      <i/>
      <sz val="11"/>
      <color theme="0"/>
      <name val="Calibri"/>
      <family val="2"/>
      <scheme val="minor"/>
    </font>
    <font>
      <sz val="14"/>
      <color theme="1"/>
      <name val="Trebuchet MS"/>
      <family val="2"/>
    </font>
    <font>
      <sz val="11"/>
      <color theme="1"/>
      <name val="Trebuchet MS"/>
      <family val="2"/>
    </font>
    <font>
      <b/>
      <i/>
      <sz val="11"/>
      <color theme="1" tint="0.249977111117893"/>
      <name val="Trebuchet MS"/>
      <family val="2"/>
    </font>
    <font>
      <b/>
      <i/>
      <sz val="10"/>
      <color theme="1" tint="0.249977111117893"/>
      <name val="Trebuchet MS"/>
      <family val="2"/>
    </font>
    <font>
      <b/>
      <i/>
      <sz val="10"/>
      <color theme="0"/>
      <name val="Trebuchet MS"/>
      <family val="2"/>
    </font>
    <font>
      <i/>
      <sz val="10"/>
      <color theme="1" tint="0.34998626667073579"/>
      <name val="Trebuchet MS"/>
      <family val="2"/>
    </font>
    <font>
      <b/>
      <i/>
      <sz val="10"/>
      <color theme="1" tint="0.34998626667073579"/>
      <name val="Trebuchet MS"/>
      <family val="2"/>
    </font>
    <font>
      <i/>
      <sz val="9"/>
      <color theme="1" tint="0.249977111117893"/>
      <name val="Trebuchet MS"/>
      <family val="2"/>
    </font>
    <font>
      <b/>
      <i/>
      <sz val="9"/>
      <color theme="1" tint="0.249977111117893"/>
      <name val="Trebuchet MS"/>
      <family val="2"/>
    </font>
    <font>
      <b/>
      <sz val="11"/>
      <color theme="1"/>
      <name val="Trebuchet MS"/>
      <family val="2"/>
    </font>
    <font>
      <i/>
      <sz val="9"/>
      <color theme="1"/>
      <name val="Trebuchet MS"/>
      <family val="2"/>
    </font>
    <font>
      <b/>
      <i/>
      <sz val="9"/>
      <color theme="1"/>
      <name val="Trebuchet MS"/>
      <family val="2"/>
    </font>
    <font>
      <i/>
      <sz val="9"/>
      <color theme="0" tint="-0.34998626667073579"/>
      <name val="Trebuchet MS"/>
      <family val="2"/>
    </font>
    <font>
      <sz val="9"/>
      <color theme="1"/>
      <name val="Trebuchet MS"/>
      <family val="2"/>
    </font>
    <font>
      <b/>
      <i/>
      <sz val="9"/>
      <color theme="1" tint="0.34998626667073579"/>
      <name val="Trebuchet MS"/>
      <family val="2"/>
    </font>
    <font>
      <b/>
      <sz val="18"/>
      <color theme="1"/>
      <name val="Trebuchet MS"/>
      <family val="2"/>
    </font>
    <font>
      <sz val="18"/>
      <color theme="1"/>
      <name val="Trebuchet MS"/>
      <family val="2"/>
    </font>
    <font>
      <sz val="10"/>
      <color theme="1" tint="0.249977111117893"/>
      <name val="Trebuchet MS"/>
      <family val="2"/>
    </font>
    <font>
      <b/>
      <sz val="10"/>
      <color theme="1" tint="0.499984740745262"/>
      <name val="Trebuchet MS"/>
      <family val="2"/>
    </font>
    <font>
      <sz val="11"/>
      <color rgb="FFFF0000"/>
      <name val="Trebuchet MS"/>
      <family val="2"/>
    </font>
    <font>
      <sz val="11"/>
      <color theme="1" tint="0.249977111117893"/>
      <name val="Trebuchet MS"/>
      <family val="2"/>
    </font>
    <font>
      <sz val="11"/>
      <color theme="1" tint="0.499984740745262"/>
      <name val="Trebuchet MS"/>
      <family val="2"/>
    </font>
    <font>
      <b/>
      <sz val="20"/>
      <color theme="1" tint="0.499984740745262"/>
      <name val="Trebuchet MS"/>
      <family val="2"/>
    </font>
    <font>
      <sz val="20"/>
      <color theme="1"/>
      <name val="Trebuchet MS"/>
      <family val="2"/>
    </font>
    <font>
      <b/>
      <sz val="24"/>
      <color theme="1" tint="0.249977111117893"/>
      <name val="Trebuchet MS"/>
      <family val="2"/>
    </font>
    <font>
      <sz val="12"/>
      <color theme="1" tint="0.249977111117893"/>
      <name val="Trebuchet MS"/>
      <family val="2"/>
    </font>
    <font>
      <b/>
      <sz val="12"/>
      <color rgb="FFFF0000"/>
      <name val="Trebuchet MS"/>
      <family val="2"/>
    </font>
    <font>
      <b/>
      <sz val="16"/>
      <color theme="1" tint="0.499984740745262"/>
      <name val="Trebuchet MS"/>
      <family val="2"/>
    </font>
    <font>
      <sz val="10"/>
      <color rgb="FFFF0000"/>
      <name val="Trebuchet MS"/>
      <family val="2"/>
    </font>
    <font>
      <b/>
      <sz val="10"/>
      <color theme="1"/>
      <name val="Trebuchet MS"/>
      <family val="2"/>
    </font>
    <font>
      <sz val="10"/>
      <color theme="1"/>
      <name val="Trebuchet MS"/>
      <family val="2"/>
    </font>
    <font>
      <b/>
      <sz val="11"/>
      <color theme="1" tint="0.249977111117893"/>
      <name val="Trebuchet MS"/>
      <family val="2"/>
    </font>
    <font>
      <b/>
      <sz val="10"/>
      <color theme="0"/>
      <name val="Trebuchet MS"/>
      <family val="2"/>
    </font>
    <font>
      <sz val="12"/>
      <color theme="1"/>
      <name val="Trebuchet MS"/>
      <family val="2"/>
    </font>
    <font>
      <i/>
      <sz val="10"/>
      <color theme="1"/>
      <name val="Trebuchet MS"/>
      <family val="2"/>
    </font>
    <font>
      <b/>
      <i/>
      <sz val="10"/>
      <color theme="1"/>
      <name val="Trebuchet MS"/>
      <family val="2"/>
    </font>
    <font>
      <b/>
      <sz val="12"/>
      <color theme="1"/>
      <name val="Trebuchet MS"/>
      <family val="2"/>
    </font>
  </fonts>
  <fills count="1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them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bgColor indexed="64"/>
      </patternFill>
    </fill>
  </fills>
  <borders count="5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style="thin">
        <color theme="0" tint="-0.24994659260841701"/>
      </bottom>
      <diagonal/>
    </border>
    <border>
      <left/>
      <right/>
      <top/>
      <bottom style="thin">
        <color theme="0" tint="-0.14996795556505021"/>
      </bottom>
      <diagonal/>
    </border>
    <border>
      <left/>
      <right/>
      <top style="thin">
        <color theme="0" tint="-0.14996795556505021"/>
      </top>
      <bottom/>
      <diagonal/>
    </border>
    <border>
      <left/>
      <right/>
      <top/>
      <bottom style="medium">
        <color indexed="64"/>
      </bottom>
      <diagonal/>
    </border>
    <border>
      <left style="thin">
        <color theme="0" tint="-0.24994659260841701"/>
      </left>
      <right style="thin">
        <color theme="0" tint="-0.24994659260841701"/>
      </right>
      <top/>
      <bottom style="medium">
        <color theme="1" tint="0.24994659260841701"/>
      </bottom>
      <diagonal/>
    </border>
    <border>
      <left style="thin">
        <color rgb="FF5C6769"/>
      </left>
      <right style="thin">
        <color rgb="FF5C6769"/>
      </right>
      <top/>
      <bottom/>
      <diagonal/>
    </border>
    <border>
      <left style="thin">
        <color rgb="FF5C6769"/>
      </left>
      <right style="thin">
        <color rgb="FF5C6769"/>
      </right>
      <top/>
      <bottom style="thin">
        <color rgb="FF5C6769"/>
      </bottom>
      <diagonal/>
    </border>
    <border>
      <left/>
      <right/>
      <top/>
      <bottom style="double">
        <color indexed="64"/>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diagonal/>
    </border>
    <border>
      <left style="thin">
        <color theme="0" tint="-0.24994659260841701"/>
      </left>
      <right/>
      <top/>
      <bottom style="thin">
        <color indexed="64"/>
      </bottom>
      <diagonal/>
    </border>
    <border>
      <left/>
      <right/>
      <top/>
      <bottom style="thin">
        <color indexed="64"/>
      </bottom>
      <diagonal/>
    </border>
    <border>
      <left style="thin">
        <color theme="0" tint="-0.24994659260841701"/>
      </left>
      <right style="thin">
        <color theme="0" tint="-0.24994659260841701"/>
      </right>
      <top/>
      <bottom/>
      <diagonal/>
    </border>
    <border>
      <left/>
      <right style="thin">
        <color theme="0" tint="-0.24994659260841701"/>
      </right>
      <top/>
      <bottom style="medium">
        <color theme="1" tint="0.24994659260841701"/>
      </bottom>
      <diagonal/>
    </border>
    <border>
      <left style="thin">
        <color rgb="FF5C6769"/>
      </left>
      <right/>
      <top style="thin">
        <color theme="0" tint="-0.24994659260841701"/>
      </top>
      <bottom style="thin">
        <color theme="0" tint="-0.24994659260841701"/>
      </bottom>
      <diagonal/>
    </border>
    <border>
      <left style="thin">
        <color theme="0" tint="-0.24994659260841701"/>
      </left>
      <right/>
      <top style="medium">
        <color theme="1" tint="0.24994659260841701"/>
      </top>
      <bottom style="thin">
        <color theme="0" tint="-0.24994659260841701"/>
      </bottom>
      <diagonal/>
    </border>
    <border>
      <left/>
      <right style="thin">
        <color theme="0" tint="-0.24994659260841701"/>
      </right>
      <top style="medium">
        <color theme="1" tint="0.24994659260841701"/>
      </top>
      <bottom style="thin">
        <color theme="0" tint="-0.24994659260841701"/>
      </bottom>
      <diagonal/>
    </border>
    <border>
      <left style="thin">
        <color theme="0" tint="-0.24994659260841701"/>
      </left>
      <right style="thin">
        <color theme="0" tint="-0.24994659260841701"/>
      </right>
      <top style="medium">
        <color indexed="64"/>
      </top>
      <bottom style="medium">
        <color theme="1" tint="0.24994659260841701"/>
      </bottom>
      <diagonal/>
    </border>
    <border>
      <left style="thin">
        <color theme="0" tint="-0.24994659260841701"/>
      </left>
      <right style="thin">
        <color theme="0" tint="-0.24994659260841701"/>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rgb="FF5C6769"/>
      </left>
      <right style="thin">
        <color rgb="FF5C6769"/>
      </right>
      <top/>
      <bottom style="medium">
        <color rgb="FF5C6769"/>
      </bottom>
      <diagonal/>
    </border>
    <border>
      <left/>
      <right style="thin">
        <color theme="0" tint="-0.24994659260841701"/>
      </right>
      <top style="thin">
        <color theme="0" tint="-0.24994659260841701"/>
      </top>
      <bottom style="medium">
        <color rgb="FF5C6769"/>
      </bottom>
      <diagonal/>
    </border>
    <border>
      <left style="thin">
        <color theme="0" tint="-0.24994659260841701"/>
      </left>
      <right style="thin">
        <color theme="0" tint="-0.24994659260841701"/>
      </right>
      <top style="thin">
        <color theme="0" tint="-0.24994659260841701"/>
      </top>
      <bottom style="medium">
        <color rgb="FF5C6769"/>
      </bottom>
      <diagonal/>
    </border>
    <border>
      <left style="thin">
        <color theme="0" tint="-0.24994659260841701"/>
      </left>
      <right/>
      <top style="thin">
        <color theme="0" tint="-0.24994659260841701"/>
      </top>
      <bottom style="medium">
        <color rgb="FF5C6769"/>
      </bottom>
      <diagonal/>
    </border>
    <border>
      <left style="thin">
        <color rgb="FF5C6769"/>
      </left>
      <right/>
      <top style="thin">
        <color theme="0" tint="-0.24994659260841701"/>
      </top>
      <bottom style="medium">
        <color rgb="FF5C6769"/>
      </bottom>
      <diagonal/>
    </border>
    <border>
      <left/>
      <right/>
      <top style="medium">
        <color auto="1"/>
      </top>
      <bottom/>
      <diagonal/>
    </border>
    <border>
      <left style="thin">
        <color rgb="FF5C6769"/>
      </left>
      <right style="thin">
        <color rgb="FF5C6769"/>
      </right>
      <top style="medium">
        <color auto="1"/>
      </top>
      <bottom/>
      <diagonal/>
    </border>
    <border>
      <left style="thin">
        <color rgb="FF5C6769"/>
      </left>
      <right/>
      <top style="medium">
        <color auto="1"/>
      </top>
      <bottom style="thin">
        <color theme="0" tint="-0.24994659260841701"/>
      </bottom>
      <diagonal/>
    </border>
    <border>
      <left/>
      <right style="thin">
        <color theme="0" tint="-0.24994659260841701"/>
      </right>
      <top style="medium">
        <color auto="1"/>
      </top>
      <bottom style="thin">
        <color theme="0" tint="-0.24994659260841701"/>
      </bottom>
      <diagonal/>
    </border>
    <border>
      <left style="thin">
        <color theme="0" tint="-0.24994659260841701"/>
      </left>
      <right style="thin">
        <color theme="0" tint="-0.24994659260841701"/>
      </right>
      <top style="medium">
        <color auto="1"/>
      </top>
      <bottom style="thin">
        <color theme="0" tint="-0.24994659260841701"/>
      </bottom>
      <diagonal/>
    </border>
    <border>
      <left style="thin">
        <color theme="0" tint="-0.24994659260841701"/>
      </left>
      <right/>
      <top style="medium">
        <color auto="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medium">
        <color auto="1"/>
      </right>
      <top/>
      <bottom style="thin">
        <color theme="0" tint="-0.14996795556505021"/>
      </bottom>
      <diagonal/>
    </border>
    <border>
      <left style="thin">
        <color theme="0" tint="-0.14996795556505021"/>
      </left>
      <right style="medium">
        <color auto="1"/>
      </right>
      <top style="thin">
        <color theme="0" tint="-0.14996795556505021"/>
      </top>
      <bottom style="thin">
        <color theme="0" tint="-0.14996795556505021"/>
      </bottom>
      <diagonal/>
    </border>
    <border>
      <left style="thin">
        <color theme="0" tint="-0.14996795556505021"/>
      </left>
      <right style="medium">
        <color auto="1"/>
      </right>
      <top style="thin">
        <color theme="0" tint="-0.14996795556505021"/>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bottom/>
      <diagonal/>
    </border>
  </borders>
  <cellStyleXfs count="5">
    <xf numFmtId="0" fontId="0" fillId="0" borderId="0"/>
    <xf numFmtId="9" fontId="1" fillId="0" borderId="0" applyFont="0" applyFill="0" applyBorder="0" applyAlignment="0" applyProtection="0"/>
    <xf numFmtId="164" fontId="1" fillId="0" borderId="0" applyFont="0" applyFill="0" applyBorder="0" applyAlignment="0" applyProtection="0"/>
    <xf numFmtId="0" fontId="2" fillId="0" borderId="0" applyNumberFormat="0" applyFill="0" applyBorder="0" applyAlignment="0" applyProtection="0"/>
    <xf numFmtId="44" fontId="1" fillId="0" borderId="0" applyFont="0" applyFill="0" applyBorder="0" applyAlignment="0" applyProtection="0"/>
  </cellStyleXfs>
  <cellXfs count="274">
    <xf numFmtId="0" fontId="0" fillId="0" borderId="0" xfId="0"/>
    <xf numFmtId="0" fontId="0" fillId="0" borderId="0" xfId="0" applyAlignment="1">
      <alignmen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6" fillId="0" borderId="0" xfId="0" applyFont="1"/>
    <xf numFmtId="0" fontId="7" fillId="3" borderId="1" xfId="3" applyFont="1" applyFill="1" applyBorder="1" applyAlignment="1" applyProtection="1">
      <alignment horizontal="center" vertical="center"/>
      <protection hidden="1"/>
    </xf>
    <xf numFmtId="0" fontId="8" fillId="2" borderId="9" xfId="3" applyFont="1" applyFill="1" applyBorder="1" applyAlignment="1">
      <alignment horizontal="center" vertical="center"/>
    </xf>
    <xf numFmtId="9" fontId="7" fillId="3" borderId="1" xfId="1" applyFont="1" applyFill="1" applyBorder="1" applyAlignment="1" applyProtection="1">
      <alignment horizontal="center" vertical="center"/>
      <protection hidden="1"/>
    </xf>
    <xf numFmtId="9" fontId="0" fillId="0" borderId="0" xfId="1" applyFont="1" applyFill="1" applyAlignment="1">
      <alignment vertical="center"/>
    </xf>
    <xf numFmtId="165" fontId="9" fillId="3" borderId="0" xfId="3" applyNumberFormat="1" applyFont="1" applyFill="1" applyAlignment="1">
      <alignment horizontal="center" vertical="center"/>
    </xf>
    <xf numFmtId="0" fontId="10" fillId="3" borderId="0" xfId="3" applyFont="1" applyFill="1" applyBorder="1" applyAlignment="1" applyProtection="1">
      <alignment horizontal="center" vertical="center"/>
      <protection hidden="1"/>
    </xf>
    <xf numFmtId="0" fontId="10" fillId="3" borderId="0" xfId="3" applyFont="1" applyFill="1" applyBorder="1" applyAlignment="1" applyProtection="1">
      <alignment horizontal="left" vertical="center"/>
      <protection hidden="1"/>
    </xf>
    <xf numFmtId="0" fontId="10" fillId="3" borderId="0" xfId="3" applyFont="1" applyFill="1" applyBorder="1" applyAlignment="1" applyProtection="1">
      <alignment horizontal="center" vertical="center"/>
    </xf>
    <xf numFmtId="0" fontId="11" fillId="3" borderId="1" xfId="3" applyFont="1" applyFill="1" applyBorder="1" applyAlignment="1" applyProtection="1">
      <alignment horizontal="center" vertical="center"/>
      <protection hidden="1"/>
    </xf>
    <xf numFmtId="0" fontId="11" fillId="3" borderId="5" xfId="3" applyFont="1" applyFill="1" applyBorder="1" applyAlignment="1" applyProtection="1">
      <alignment vertical="center"/>
      <protection hidden="1"/>
    </xf>
    <xf numFmtId="0" fontId="12" fillId="0" borderId="0" xfId="0" applyFont="1"/>
    <xf numFmtId="0" fontId="13" fillId="0" borderId="0" xfId="3" applyFont="1" applyFill="1" applyBorder="1" applyAlignment="1" applyProtection="1">
      <alignment horizontal="center" vertical="center"/>
    </xf>
    <xf numFmtId="0" fontId="13" fillId="3" borderId="0" xfId="3" applyFont="1" applyFill="1" applyBorder="1" applyAlignment="1" applyProtection="1">
      <alignment horizontal="center" vertical="center"/>
    </xf>
    <xf numFmtId="0" fontId="13" fillId="3" borderId="0" xfId="3" applyFont="1" applyFill="1" applyBorder="1" applyAlignment="1" applyProtection="1">
      <alignment horizontal="center" vertical="center"/>
      <protection hidden="1"/>
    </xf>
    <xf numFmtId="0" fontId="13" fillId="0" borderId="0" xfId="3" applyFont="1" applyFill="1" applyBorder="1" applyAlignment="1" applyProtection="1">
      <alignment horizontal="center" vertical="center" wrapText="1"/>
      <protection hidden="1"/>
    </xf>
    <xf numFmtId="0" fontId="14" fillId="3" borderId="0" xfId="3" applyFont="1" applyFill="1" applyBorder="1" applyAlignment="1" applyProtection="1">
      <alignment horizontal="left" vertical="center"/>
      <protection hidden="1"/>
    </xf>
    <xf numFmtId="1" fontId="15" fillId="0" borderId="0" xfId="0" applyNumberFormat="1" applyFont="1"/>
    <xf numFmtId="0" fontId="15" fillId="0" borderId="0" xfId="0" applyFont="1"/>
    <xf numFmtId="165" fontId="15" fillId="0" borderId="0" xfId="0" applyNumberFormat="1" applyFont="1"/>
    <xf numFmtId="165" fontId="15" fillId="0" borderId="12" xfId="0" applyNumberFormat="1" applyFont="1" applyBorder="1"/>
    <xf numFmtId="165" fontId="15" fillId="0" borderId="0" xfId="1" applyNumberFormat="1" applyFont="1"/>
    <xf numFmtId="165" fontId="15" fillId="0" borderId="12" xfId="1" applyNumberFormat="1" applyFont="1" applyBorder="1"/>
    <xf numFmtId="0" fontId="16" fillId="5" borderId="0" xfId="0" applyFont="1" applyFill="1" applyAlignment="1">
      <alignment horizontal="center"/>
    </xf>
    <xf numFmtId="0" fontId="16" fillId="5" borderId="0" xfId="0" applyFont="1" applyFill="1"/>
    <xf numFmtId="165" fontId="18" fillId="0" borderId="0" xfId="0" applyNumberFormat="1" applyFont="1"/>
    <xf numFmtId="0" fontId="19" fillId="0" borderId="0" xfId="3" applyFont="1" applyFill="1" applyBorder="1" applyAlignment="1">
      <alignment horizontal="center" vertical="center"/>
    </xf>
    <xf numFmtId="9" fontId="20" fillId="0" borderId="0" xfId="3" applyNumberFormat="1" applyFont="1" applyFill="1" applyBorder="1" applyAlignment="1" applyProtection="1">
      <alignment horizontal="center" vertical="center"/>
      <protection hidden="1"/>
    </xf>
    <xf numFmtId="1" fontId="20" fillId="0" borderId="0" xfId="3" applyNumberFormat="1" applyFont="1" applyFill="1" applyBorder="1" applyAlignment="1" applyProtection="1">
      <alignment horizontal="center" vertical="center"/>
      <protection hidden="1"/>
    </xf>
    <xf numFmtId="9" fontId="20" fillId="0" borderId="0" xfId="1" applyFont="1" applyFill="1" applyBorder="1" applyAlignment="1" applyProtection="1">
      <alignment horizontal="center" vertical="center"/>
      <protection hidden="1"/>
    </xf>
    <xf numFmtId="0" fontId="4" fillId="4" borderId="13" xfId="3" applyFont="1" applyFill="1" applyBorder="1" applyAlignment="1">
      <alignment horizontal="center" vertical="center"/>
    </xf>
    <xf numFmtId="0" fontId="21" fillId="0" borderId="0" xfId="0" applyFont="1" applyAlignment="1">
      <alignment horizontal="center" vertical="center"/>
    </xf>
    <xf numFmtId="0" fontId="22" fillId="0" borderId="0" xfId="3" applyFont="1" applyFill="1" applyBorder="1" applyAlignment="1">
      <alignment horizontal="center" vertical="center"/>
    </xf>
    <xf numFmtId="165" fontId="23" fillId="0" borderId="0" xfId="3" applyNumberFormat="1" applyFont="1" applyFill="1" applyBorder="1" applyAlignment="1" applyProtection="1">
      <alignment horizontal="center" vertical="center"/>
      <protection hidden="1"/>
    </xf>
    <xf numFmtId="0" fontId="24" fillId="0" borderId="0" xfId="0" applyFont="1"/>
    <xf numFmtId="0" fontId="0" fillId="6" borderId="0" xfId="0" applyFill="1"/>
    <xf numFmtId="0" fontId="25" fillId="0" borderId="8" xfId="0" applyFont="1" applyBorder="1" applyAlignment="1">
      <alignment horizontal="left" vertical="center"/>
    </xf>
    <xf numFmtId="0" fontId="26" fillId="0" borderId="8" xfId="0" applyFont="1" applyBorder="1" applyAlignment="1">
      <alignment vertical="center"/>
    </xf>
    <xf numFmtId="0" fontId="27" fillId="4" borderId="13" xfId="3" applyFont="1" applyFill="1" applyBorder="1" applyAlignment="1">
      <alignment horizontal="center" vertical="center"/>
    </xf>
    <xf numFmtId="0" fontId="29" fillId="0" borderId="0" xfId="3" applyFont="1" applyFill="1" applyBorder="1" applyAlignment="1">
      <alignment horizontal="center" vertical="center"/>
    </xf>
    <xf numFmtId="0" fontId="30" fillId="3" borderId="4" xfId="3" applyFont="1" applyFill="1" applyBorder="1" applyAlignment="1" applyProtection="1">
      <alignment horizontal="center" vertical="center"/>
    </xf>
    <xf numFmtId="0" fontId="31" fillId="3" borderId="1" xfId="3" applyFont="1" applyFill="1" applyBorder="1" applyAlignment="1" applyProtection="1">
      <alignment horizontal="left" vertical="center"/>
      <protection hidden="1"/>
    </xf>
    <xf numFmtId="9" fontId="32" fillId="3" borderId="1" xfId="3" applyNumberFormat="1" applyFont="1" applyFill="1" applyBorder="1" applyAlignment="1" applyProtection="1">
      <alignment horizontal="center" vertical="center"/>
      <protection hidden="1"/>
    </xf>
    <xf numFmtId="9" fontId="32" fillId="3" borderId="2" xfId="3" applyNumberFormat="1" applyFont="1" applyFill="1" applyBorder="1" applyAlignment="1" applyProtection="1">
      <alignment horizontal="center" vertical="center"/>
      <protection hidden="1"/>
    </xf>
    <xf numFmtId="165" fontId="32" fillId="0" borderId="0" xfId="3" applyNumberFormat="1" applyFont="1" applyFill="1" applyBorder="1" applyAlignment="1" applyProtection="1">
      <alignment horizontal="center" vertical="center"/>
      <protection hidden="1"/>
    </xf>
    <xf numFmtId="0" fontId="30" fillId="3" borderId="1" xfId="3" applyFont="1" applyFill="1" applyBorder="1" applyAlignment="1" applyProtection="1">
      <alignment horizontal="center" vertical="center"/>
      <protection hidden="1"/>
    </xf>
    <xf numFmtId="1" fontId="32" fillId="3" borderId="1" xfId="3" applyNumberFormat="1" applyFont="1" applyFill="1" applyBorder="1" applyAlignment="1" applyProtection="1">
      <alignment horizontal="center" vertical="center"/>
      <protection hidden="1"/>
    </xf>
    <xf numFmtId="1" fontId="32" fillId="0" borderId="0" xfId="3" applyNumberFormat="1" applyFont="1" applyFill="1" applyBorder="1" applyAlignment="1" applyProtection="1">
      <alignment horizontal="center" vertical="center"/>
      <protection hidden="1"/>
    </xf>
    <xf numFmtId="9" fontId="32" fillId="3" borderId="1" xfId="1" applyFont="1" applyFill="1" applyBorder="1" applyAlignment="1" applyProtection="1">
      <alignment horizontal="center" vertical="center"/>
      <protection hidden="1"/>
    </xf>
    <xf numFmtId="9" fontId="32" fillId="3" borderId="2" xfId="1" applyFont="1" applyFill="1" applyBorder="1" applyAlignment="1" applyProtection="1">
      <alignment horizontal="center" vertical="center"/>
      <protection hidden="1"/>
    </xf>
    <xf numFmtId="3" fontId="32" fillId="3" borderId="1" xfId="3" applyNumberFormat="1" applyFont="1" applyFill="1" applyBorder="1" applyAlignment="1" applyProtection="1">
      <alignment horizontal="center" vertical="center"/>
      <protection hidden="1"/>
    </xf>
    <xf numFmtId="3" fontId="32" fillId="3" borderId="2" xfId="3" applyNumberFormat="1" applyFont="1" applyFill="1" applyBorder="1" applyAlignment="1" applyProtection="1">
      <alignment horizontal="center" vertical="center"/>
      <protection hidden="1"/>
    </xf>
    <xf numFmtId="9" fontId="32" fillId="5" borderId="1" xfId="1" applyFont="1" applyFill="1" applyBorder="1" applyAlignment="1" applyProtection="1">
      <alignment horizontal="center" vertical="center"/>
      <protection hidden="1"/>
    </xf>
    <xf numFmtId="3" fontId="32" fillId="2" borderId="1" xfId="3" applyNumberFormat="1" applyFont="1" applyFill="1" applyBorder="1" applyAlignment="1" applyProtection="1">
      <alignment horizontal="center" vertical="center"/>
      <protection hidden="1"/>
    </xf>
    <xf numFmtId="3" fontId="32" fillId="2" borderId="2" xfId="3" applyNumberFormat="1" applyFont="1" applyFill="1" applyBorder="1" applyAlignment="1" applyProtection="1">
      <alignment horizontal="center" vertical="center"/>
      <protection hidden="1"/>
    </xf>
    <xf numFmtId="0" fontId="30" fillId="3" borderId="1" xfId="3" applyFont="1" applyFill="1" applyBorder="1" applyAlignment="1" applyProtection="1">
      <alignment horizontal="left" vertical="center" wrapText="1"/>
      <protection hidden="1"/>
    </xf>
    <xf numFmtId="0" fontId="30" fillId="2" borderId="3" xfId="3" applyFont="1" applyFill="1" applyBorder="1" applyAlignment="1" applyProtection="1">
      <alignment horizontal="left" vertical="center"/>
      <protection hidden="1"/>
    </xf>
    <xf numFmtId="0" fontId="30" fillId="3" borderId="3" xfId="3" applyFont="1" applyFill="1" applyBorder="1" applyAlignment="1" applyProtection="1">
      <alignment horizontal="left" vertical="center" wrapText="1"/>
      <protection hidden="1"/>
    </xf>
    <xf numFmtId="0" fontId="31" fillId="3" borderId="1" xfId="3" applyFont="1" applyFill="1" applyBorder="1" applyAlignment="1" applyProtection="1">
      <alignment vertical="center"/>
      <protection hidden="1"/>
    </xf>
    <xf numFmtId="0" fontId="25" fillId="0" borderId="8" xfId="0" applyFont="1" applyBorder="1" applyAlignment="1">
      <alignment vertical="center"/>
    </xf>
    <xf numFmtId="0" fontId="31" fillId="5" borderId="3" xfId="3" applyFont="1" applyFill="1" applyBorder="1" applyAlignment="1" applyProtection="1">
      <alignment vertical="center"/>
      <protection hidden="1"/>
    </xf>
    <xf numFmtId="0" fontId="31" fillId="2" borderId="1" xfId="3" applyFont="1" applyFill="1" applyBorder="1" applyAlignment="1" applyProtection="1">
      <alignment vertical="center"/>
      <protection hidden="1"/>
    </xf>
    <xf numFmtId="1" fontId="32" fillId="3" borderId="1" xfId="1" applyNumberFormat="1" applyFont="1" applyFill="1" applyBorder="1" applyAlignment="1" applyProtection="1">
      <alignment horizontal="center" vertical="center"/>
      <protection hidden="1"/>
    </xf>
    <xf numFmtId="1" fontId="32" fillId="3" borderId="2" xfId="1" applyNumberFormat="1" applyFont="1" applyFill="1" applyBorder="1" applyAlignment="1" applyProtection="1">
      <alignment horizontal="center" vertical="center"/>
      <protection hidden="1"/>
    </xf>
    <xf numFmtId="0" fontId="30" fillId="3" borderId="26" xfId="3" applyFont="1" applyFill="1" applyBorder="1" applyAlignment="1" applyProtection="1">
      <alignment horizontal="center" vertical="center"/>
      <protection hidden="1"/>
    </xf>
    <xf numFmtId="0" fontId="31" fillId="3" borderId="26" xfId="3" applyFont="1" applyFill="1" applyBorder="1" applyAlignment="1" applyProtection="1">
      <alignment vertical="center"/>
      <protection hidden="1"/>
    </xf>
    <xf numFmtId="9" fontId="32" fillId="3" borderId="26" xfId="1" applyFont="1" applyFill="1" applyBorder="1" applyAlignment="1" applyProtection="1">
      <alignment horizontal="center" vertical="center"/>
      <protection hidden="1"/>
    </xf>
    <xf numFmtId="9" fontId="32" fillId="3" borderId="28" xfId="1" applyFont="1" applyFill="1" applyBorder="1" applyAlignment="1" applyProtection="1">
      <alignment horizontal="center" vertical="center"/>
      <protection hidden="1"/>
    </xf>
    <xf numFmtId="0" fontId="31" fillId="5" borderId="30" xfId="3" applyFont="1" applyFill="1" applyBorder="1" applyAlignment="1" applyProtection="1">
      <alignment vertical="center"/>
      <protection hidden="1"/>
    </xf>
    <xf numFmtId="9" fontId="32" fillId="5" borderId="31" xfId="1" applyFont="1" applyFill="1" applyBorder="1" applyAlignment="1" applyProtection="1">
      <alignment horizontal="center" vertical="center"/>
      <protection hidden="1"/>
    </xf>
    <xf numFmtId="0" fontId="30" fillId="5" borderId="30" xfId="3" applyFont="1" applyFill="1" applyBorder="1" applyAlignment="1" applyProtection="1">
      <alignment horizontal="left" vertical="center" wrapText="1"/>
      <protection hidden="1"/>
    </xf>
    <xf numFmtId="0" fontId="31" fillId="8" borderId="4" xfId="3" applyFont="1" applyFill="1" applyBorder="1" applyAlignment="1" applyProtection="1">
      <alignment vertical="center"/>
      <protection hidden="1"/>
    </xf>
    <xf numFmtId="3" fontId="32" fillId="8" borderId="4" xfId="3" applyNumberFormat="1" applyFont="1" applyFill="1" applyBorder="1" applyAlignment="1" applyProtection="1">
      <alignment horizontal="center" vertical="center"/>
      <protection hidden="1"/>
    </xf>
    <xf numFmtId="0" fontId="31" fillId="9" borderId="1" xfId="3" applyFont="1" applyFill="1" applyBorder="1" applyAlignment="1" applyProtection="1">
      <alignment vertical="center"/>
      <protection hidden="1"/>
    </xf>
    <xf numFmtId="3" fontId="32" fillId="9" borderId="1" xfId="3" applyNumberFormat="1" applyFont="1" applyFill="1" applyBorder="1" applyAlignment="1" applyProtection="1">
      <alignment horizontal="center" vertical="center"/>
      <protection hidden="1"/>
    </xf>
    <xf numFmtId="0" fontId="26" fillId="0" borderId="0" xfId="0" applyFont="1"/>
    <xf numFmtId="0" fontId="34" fillId="5" borderId="0" xfId="0" applyFont="1" applyFill="1" applyAlignment="1">
      <alignment horizontal="center" vertical="center"/>
    </xf>
    <xf numFmtId="0" fontId="34" fillId="3" borderId="0" xfId="0" applyFont="1" applyFill="1" applyAlignment="1">
      <alignment horizontal="center" vertical="center"/>
    </xf>
    <xf numFmtId="0" fontId="28" fillId="2" borderId="0" xfId="3" applyFont="1" applyFill="1" applyBorder="1" applyAlignment="1">
      <alignment horizontal="center" vertical="center"/>
    </xf>
    <xf numFmtId="0" fontId="28" fillId="3" borderId="0" xfId="3" applyFont="1" applyFill="1" applyBorder="1" applyAlignment="1">
      <alignment horizontal="center" vertical="center"/>
    </xf>
    <xf numFmtId="0" fontId="28" fillId="4" borderId="0" xfId="3" applyFont="1" applyFill="1" applyBorder="1" applyAlignment="1">
      <alignment horizontal="center" vertical="center"/>
    </xf>
    <xf numFmtId="165" fontId="35" fillId="0" borderId="0" xfId="0" applyNumberFormat="1" applyFont="1"/>
    <xf numFmtId="165" fontId="36" fillId="0" borderId="0" xfId="0" applyNumberFormat="1" applyFont="1"/>
    <xf numFmtId="9" fontId="36" fillId="0" borderId="0" xfId="0" applyNumberFormat="1" applyFont="1"/>
    <xf numFmtId="1" fontId="36" fillId="0" borderId="0" xfId="0" applyNumberFormat="1" applyFont="1"/>
    <xf numFmtId="165" fontId="37" fillId="0" borderId="0" xfId="0" applyNumberFormat="1" applyFont="1"/>
    <xf numFmtId="0" fontId="38" fillId="0" borderId="0" xfId="0" applyFont="1"/>
    <xf numFmtId="0" fontId="39" fillId="7" borderId="18" xfId="3" applyFont="1" applyFill="1" applyBorder="1" applyAlignment="1" applyProtection="1">
      <alignment vertical="center"/>
      <protection hidden="1"/>
    </xf>
    <xf numFmtId="0" fontId="39" fillId="0" borderId="19" xfId="3" applyFont="1" applyFill="1" applyBorder="1" applyAlignment="1" applyProtection="1">
      <alignment vertical="center"/>
      <protection hidden="1"/>
    </xf>
    <xf numFmtId="0" fontId="39" fillId="0" borderId="0" xfId="3" applyFont="1" applyFill="1" applyBorder="1" applyAlignment="1" applyProtection="1">
      <alignment vertical="center"/>
      <protection hidden="1"/>
    </xf>
    <xf numFmtId="0" fontId="26" fillId="2" borderId="0" xfId="0" applyFont="1" applyFill="1" applyAlignment="1">
      <alignment vertical="center"/>
    </xf>
    <xf numFmtId="0" fontId="41" fillId="2" borderId="0" xfId="0" applyFont="1" applyFill="1" applyAlignment="1">
      <alignment vertical="center"/>
    </xf>
    <xf numFmtId="0" fontId="40" fillId="0" borderId="0" xfId="0" applyFont="1" applyAlignment="1">
      <alignment vertical="center"/>
    </xf>
    <xf numFmtId="0" fontId="26" fillId="3" borderId="0" xfId="0" applyFont="1" applyFill="1" applyAlignment="1">
      <alignment vertical="center"/>
    </xf>
    <xf numFmtId="0" fontId="26" fillId="0" borderId="0" xfId="0" applyFont="1" applyAlignment="1">
      <alignment vertical="center"/>
    </xf>
    <xf numFmtId="0" fontId="44" fillId="3" borderId="0" xfId="0" applyFont="1" applyFill="1" applyAlignment="1">
      <alignment vertical="center"/>
    </xf>
    <xf numFmtId="0" fontId="26" fillId="2" borderId="0" xfId="0" applyFont="1" applyFill="1" applyAlignment="1">
      <alignment horizontal="center" vertical="center"/>
    </xf>
    <xf numFmtId="0" fontId="45" fillId="2" borderId="0" xfId="0" applyFont="1" applyFill="1" applyAlignment="1">
      <alignment vertical="center"/>
    </xf>
    <xf numFmtId="0" fontId="46" fillId="2" borderId="0" xfId="0" applyFont="1" applyFill="1" applyAlignment="1">
      <alignment vertical="center"/>
    </xf>
    <xf numFmtId="0" fontId="48" fillId="2" borderId="0" xfId="0" applyFont="1" applyFill="1" applyAlignment="1">
      <alignment vertical="center"/>
    </xf>
    <xf numFmtId="166" fontId="49" fillId="0" borderId="0" xfId="0" applyNumberFormat="1" applyFont="1" applyAlignment="1">
      <alignment horizontal="center" vertical="center"/>
    </xf>
    <xf numFmtId="3" fontId="49" fillId="0" borderId="0" xfId="0" applyNumberFormat="1" applyFont="1" applyAlignment="1">
      <alignment horizontal="center" vertical="center"/>
    </xf>
    <xf numFmtId="10" fontId="49" fillId="0" borderId="0" xfId="1" applyNumberFormat="1" applyFont="1" applyBorder="1" applyAlignment="1">
      <alignment horizontal="center" vertical="center"/>
    </xf>
    <xf numFmtId="3" fontId="49" fillId="0" borderId="0" xfId="0" applyNumberFormat="1" applyFont="1" applyAlignment="1">
      <alignment vertical="center"/>
    </xf>
    <xf numFmtId="0" fontId="44" fillId="2" borderId="0" xfId="0" applyFont="1" applyFill="1" applyAlignment="1">
      <alignment vertical="center"/>
    </xf>
    <xf numFmtId="1" fontId="49" fillId="0" borderId="0" xfId="0" applyNumberFormat="1" applyFont="1" applyAlignment="1">
      <alignment vertical="center"/>
    </xf>
    <xf numFmtId="165" fontId="49" fillId="0" borderId="0" xfId="1" applyNumberFormat="1" applyFont="1" applyBorder="1" applyAlignment="1">
      <alignment vertical="center"/>
    </xf>
    <xf numFmtId="0" fontId="44" fillId="0" borderId="0" xfId="0" applyFont="1" applyAlignment="1">
      <alignment vertical="center"/>
    </xf>
    <xf numFmtId="0" fontId="44" fillId="3" borderId="0" xfId="0" applyFont="1" applyFill="1" applyAlignment="1" applyProtection="1">
      <alignment horizontal="left" vertical="center"/>
      <protection hidden="1"/>
    </xf>
    <xf numFmtId="37" fontId="44" fillId="3" borderId="0" xfId="2" applyNumberFormat="1" applyFont="1" applyFill="1" applyAlignment="1" applyProtection="1">
      <alignment vertical="center"/>
      <protection hidden="1"/>
    </xf>
    <xf numFmtId="9" fontId="44" fillId="3" borderId="0" xfId="1" applyFont="1" applyFill="1" applyAlignment="1" applyProtection="1">
      <alignment vertical="center"/>
      <protection hidden="1"/>
    </xf>
    <xf numFmtId="0" fontId="44" fillId="3" borderId="0" xfId="0" applyFont="1" applyFill="1" applyAlignment="1" applyProtection="1">
      <alignment vertical="center"/>
      <protection hidden="1"/>
    </xf>
    <xf numFmtId="165" fontId="51" fillId="3" borderId="0" xfId="0" applyNumberFormat="1" applyFont="1" applyFill="1" applyAlignment="1">
      <alignment horizontal="center" vertical="center"/>
    </xf>
    <xf numFmtId="0" fontId="45" fillId="0" borderId="0" xfId="0" applyFont="1" applyAlignment="1">
      <alignment vertical="center"/>
    </xf>
    <xf numFmtId="0" fontId="45" fillId="0" borderId="0" xfId="0" applyFont="1" applyAlignment="1" applyProtection="1">
      <alignment vertical="center"/>
      <protection locked="0"/>
    </xf>
    <xf numFmtId="0" fontId="45" fillId="2" borderId="0" xfId="0" applyFont="1" applyFill="1" applyAlignment="1" applyProtection="1">
      <alignment vertical="center"/>
      <protection locked="0"/>
    </xf>
    <xf numFmtId="0" fontId="30" fillId="5" borderId="3" xfId="3" applyFont="1" applyFill="1" applyBorder="1" applyAlignment="1" applyProtection="1">
      <alignment horizontal="left" vertical="center" wrapText="1"/>
      <protection hidden="1"/>
    </xf>
    <xf numFmtId="0" fontId="30" fillId="8" borderId="16" xfId="3" applyFont="1" applyFill="1" applyBorder="1" applyAlignment="1" applyProtection="1">
      <alignment horizontal="left" vertical="center" wrapText="1"/>
      <protection hidden="1"/>
    </xf>
    <xf numFmtId="0" fontId="30" fillId="9" borderId="3" xfId="3" applyFont="1" applyFill="1" applyBorder="1" applyAlignment="1" applyProtection="1">
      <alignment horizontal="left" vertical="center" wrapText="1"/>
      <protection hidden="1"/>
    </xf>
    <xf numFmtId="0" fontId="30" fillId="3" borderId="20" xfId="3" applyFont="1" applyFill="1" applyBorder="1" applyAlignment="1" applyProtection="1">
      <alignment horizontal="center" vertical="center"/>
    </xf>
    <xf numFmtId="3" fontId="32" fillId="8" borderId="14" xfId="3" applyNumberFormat="1" applyFont="1" applyFill="1" applyBorder="1" applyAlignment="1" applyProtection="1">
      <alignment horizontal="center" vertical="center"/>
      <protection hidden="1"/>
    </xf>
    <xf numFmtId="3" fontId="32" fillId="9" borderId="2" xfId="3" applyNumberFormat="1" applyFont="1" applyFill="1" applyBorder="1" applyAlignment="1" applyProtection="1">
      <alignment horizontal="center" vertical="center"/>
      <protection hidden="1"/>
    </xf>
    <xf numFmtId="167" fontId="32" fillId="3" borderId="1" xfId="4" applyNumberFormat="1" applyFont="1" applyFill="1" applyBorder="1" applyAlignment="1" applyProtection="1">
      <alignment horizontal="center" vertical="center"/>
      <protection hidden="1"/>
    </xf>
    <xf numFmtId="167" fontId="32" fillId="3" borderId="2" xfId="4" applyNumberFormat="1" applyFont="1" applyFill="1" applyBorder="1" applyAlignment="1" applyProtection="1">
      <alignment horizontal="center" vertical="center"/>
      <protection hidden="1"/>
    </xf>
    <xf numFmtId="9" fontId="32" fillId="10" borderId="1" xfId="1" applyFont="1" applyFill="1" applyBorder="1" applyAlignment="1" applyProtection="1">
      <alignment horizontal="center" vertical="center"/>
      <protection hidden="1"/>
    </xf>
    <xf numFmtId="9" fontId="32" fillId="10" borderId="2" xfId="1" applyFont="1" applyFill="1" applyBorder="1" applyAlignment="1" applyProtection="1">
      <alignment horizontal="center" vertical="center"/>
      <protection hidden="1"/>
    </xf>
    <xf numFmtId="9" fontId="32" fillId="10" borderId="31" xfId="1" applyFont="1" applyFill="1" applyBorder="1" applyAlignment="1" applyProtection="1">
      <alignment horizontal="center" vertical="center"/>
      <protection hidden="1"/>
    </xf>
    <xf numFmtId="9" fontId="32" fillId="10" borderId="32" xfId="1" applyFont="1" applyFill="1" applyBorder="1" applyAlignment="1" applyProtection="1">
      <alignment horizontal="center" vertical="center"/>
      <protection hidden="1"/>
    </xf>
    <xf numFmtId="0" fontId="39" fillId="10" borderId="2" xfId="3" applyFont="1" applyFill="1" applyBorder="1" applyAlignment="1" applyProtection="1">
      <alignment vertical="center"/>
      <protection hidden="1"/>
    </xf>
    <xf numFmtId="0" fontId="39" fillId="10" borderId="5" xfId="3" applyFont="1" applyFill="1" applyBorder="1" applyAlignment="1" applyProtection="1">
      <alignment vertical="center"/>
      <protection hidden="1"/>
    </xf>
    <xf numFmtId="3" fontId="32" fillId="10" borderId="1" xfId="3" applyNumberFormat="1" applyFont="1" applyFill="1" applyBorder="1" applyAlignment="1" applyProtection="1">
      <alignment horizontal="center" vertical="center"/>
      <protection hidden="1"/>
    </xf>
    <xf numFmtId="165" fontId="37" fillId="0" borderId="34" xfId="0" applyNumberFormat="1" applyFont="1" applyBorder="1"/>
    <xf numFmtId="165" fontId="36" fillId="0" borderId="34" xfId="0" applyNumberFormat="1" applyFont="1" applyBorder="1"/>
    <xf numFmtId="9" fontId="36" fillId="0" borderId="34" xfId="0" applyNumberFormat="1" applyFont="1" applyBorder="1"/>
    <xf numFmtId="165" fontId="37" fillId="0" borderId="8" xfId="0" applyNumberFormat="1" applyFont="1" applyBorder="1"/>
    <xf numFmtId="165" fontId="36" fillId="0" borderId="8" xfId="0" applyNumberFormat="1" applyFont="1" applyBorder="1"/>
    <xf numFmtId="9" fontId="36" fillId="0" borderId="8" xfId="0" applyNumberFormat="1" applyFont="1" applyBorder="1"/>
    <xf numFmtId="2" fontId="36" fillId="0" borderId="0" xfId="0" applyNumberFormat="1" applyFont="1"/>
    <xf numFmtId="2" fontId="32" fillId="0" borderId="0" xfId="3" applyNumberFormat="1" applyFont="1" applyFill="1" applyBorder="1" applyAlignment="1" applyProtection="1">
      <alignment horizontal="center" vertical="center"/>
      <protection hidden="1"/>
    </xf>
    <xf numFmtId="0" fontId="31" fillId="3" borderId="1" xfId="3" applyFont="1" applyFill="1" applyBorder="1" applyAlignment="1" applyProtection="1">
      <alignment vertical="center" wrapText="1"/>
      <protection hidden="1"/>
    </xf>
    <xf numFmtId="2" fontId="23" fillId="0" borderId="0" xfId="3" applyNumberFormat="1" applyFont="1" applyFill="1" applyBorder="1" applyAlignment="1" applyProtection="1">
      <alignment horizontal="center" vertical="center"/>
      <protection hidden="1"/>
    </xf>
    <xf numFmtId="167" fontId="32" fillId="3" borderId="1" xfId="3" applyNumberFormat="1" applyFont="1" applyFill="1" applyBorder="1" applyAlignment="1" applyProtection="1">
      <alignment horizontal="center" vertical="center"/>
      <protection hidden="1"/>
    </xf>
    <xf numFmtId="0" fontId="30" fillId="3" borderId="27" xfId="3" applyFont="1" applyFill="1" applyBorder="1" applyAlignment="1" applyProtection="1">
      <alignment horizontal="left" vertical="center" wrapText="1"/>
      <protection hidden="1"/>
    </xf>
    <xf numFmtId="9" fontId="32" fillId="3" borderId="20" xfId="1" applyFont="1" applyFill="1" applyBorder="1" applyAlignment="1" applyProtection="1">
      <alignment horizontal="center" vertical="center"/>
      <protection hidden="1"/>
    </xf>
    <xf numFmtId="0" fontId="31" fillId="5" borderId="16" xfId="3" applyFont="1" applyFill="1" applyBorder="1" applyAlignment="1" applyProtection="1">
      <alignment vertical="center"/>
      <protection hidden="1"/>
    </xf>
    <xf numFmtId="0" fontId="30" fillId="5" borderId="16" xfId="3" applyFont="1" applyFill="1" applyBorder="1" applyAlignment="1" applyProtection="1">
      <alignment horizontal="left" vertical="center" wrapText="1"/>
      <protection hidden="1"/>
    </xf>
    <xf numFmtId="9" fontId="32" fillId="5" borderId="4" xfId="1" applyFont="1" applyFill="1" applyBorder="1" applyAlignment="1" applyProtection="1">
      <alignment horizontal="center" vertical="center"/>
      <protection hidden="1"/>
    </xf>
    <xf numFmtId="0" fontId="30" fillId="3" borderId="0" xfId="3" applyFont="1" applyFill="1" applyBorder="1" applyAlignment="1" applyProtection="1">
      <alignment horizontal="center" vertical="center"/>
    </xf>
    <xf numFmtId="0" fontId="31" fillId="3" borderId="0" xfId="3" applyFont="1" applyFill="1" applyBorder="1" applyAlignment="1" applyProtection="1">
      <alignment horizontal="left" vertical="center"/>
      <protection hidden="1"/>
    </xf>
    <xf numFmtId="0" fontId="31" fillId="3" borderId="13" xfId="3" applyFont="1" applyFill="1" applyBorder="1" applyAlignment="1" applyProtection="1">
      <alignment horizontal="left" vertical="center"/>
      <protection hidden="1"/>
    </xf>
    <xf numFmtId="9" fontId="32" fillId="3" borderId="17" xfId="1" applyFont="1" applyFill="1" applyBorder="1" applyAlignment="1" applyProtection="1">
      <alignment horizontal="center" vertical="center"/>
      <protection hidden="1"/>
    </xf>
    <xf numFmtId="0" fontId="30" fillId="3" borderId="1" xfId="3" applyFont="1" applyFill="1" applyBorder="1" applyAlignment="1" applyProtection="1">
      <alignment horizontal="center" vertical="center"/>
    </xf>
    <xf numFmtId="1" fontId="32" fillId="3" borderId="26" xfId="1" applyNumberFormat="1" applyFont="1" applyFill="1" applyBorder="1" applyAlignment="1" applyProtection="1">
      <alignment horizontal="center" vertical="center"/>
      <protection hidden="1"/>
    </xf>
    <xf numFmtId="1" fontId="32" fillId="3" borderId="28" xfId="1" applyNumberFormat="1" applyFont="1" applyFill="1" applyBorder="1" applyAlignment="1" applyProtection="1">
      <alignment horizontal="center" vertical="center"/>
      <protection hidden="1"/>
    </xf>
    <xf numFmtId="9" fontId="32" fillId="10" borderId="38" xfId="1" applyFont="1" applyFill="1" applyBorder="1" applyAlignment="1" applyProtection="1">
      <alignment horizontal="center" vertical="center"/>
      <protection hidden="1"/>
    </xf>
    <xf numFmtId="9" fontId="32" fillId="10" borderId="39" xfId="1" applyFont="1" applyFill="1" applyBorder="1" applyAlignment="1" applyProtection="1">
      <alignment horizontal="center" vertical="center"/>
      <protection hidden="1"/>
    </xf>
    <xf numFmtId="167" fontId="32" fillId="0" borderId="0" xfId="3" applyNumberFormat="1" applyFont="1" applyFill="1" applyBorder="1" applyAlignment="1" applyProtection="1">
      <alignment horizontal="center" vertical="center"/>
      <protection hidden="1"/>
    </xf>
    <xf numFmtId="9" fontId="32" fillId="0" borderId="0" xfId="1" applyFont="1" applyFill="1" applyBorder="1" applyAlignment="1" applyProtection="1">
      <alignment horizontal="center" vertical="center"/>
      <protection hidden="1"/>
    </xf>
    <xf numFmtId="9" fontId="36" fillId="0" borderId="0" xfId="1" applyFont="1"/>
    <xf numFmtId="0" fontId="40" fillId="2" borderId="0" xfId="0" applyFont="1" applyFill="1" applyAlignment="1">
      <alignment horizontal="left" vertical="center"/>
    </xf>
    <xf numFmtId="0" fontId="42" fillId="2" borderId="0" xfId="0" applyFont="1" applyFill="1" applyAlignment="1">
      <alignment horizontal="right" vertical="center"/>
    </xf>
    <xf numFmtId="0" fontId="55" fillId="3" borderId="0" xfId="0" applyFont="1" applyFill="1"/>
    <xf numFmtId="0" fontId="26" fillId="0" borderId="1" xfId="0" applyFont="1" applyBorder="1" applyAlignment="1">
      <alignment vertical="center"/>
    </xf>
    <xf numFmtId="0" fontId="56" fillId="6" borderId="1" xfId="0" applyFont="1" applyFill="1" applyBorder="1" applyAlignment="1">
      <alignment vertical="center"/>
    </xf>
    <xf numFmtId="0" fontId="55" fillId="3" borderId="0" xfId="0" applyFont="1" applyFill="1" applyAlignment="1">
      <alignment vertical="center"/>
    </xf>
    <xf numFmtId="0" fontId="55" fillId="3" borderId="0" xfId="0" applyFont="1" applyFill="1" applyAlignment="1">
      <alignment horizontal="center" vertical="center"/>
    </xf>
    <xf numFmtId="0" fontId="55" fillId="3" borderId="0" xfId="0" applyFont="1" applyFill="1" applyAlignment="1">
      <alignment horizontal="center"/>
    </xf>
    <xf numFmtId="0" fontId="55" fillId="3" borderId="40" xfId="0" applyFont="1" applyFill="1" applyBorder="1"/>
    <xf numFmtId="0" fontId="55" fillId="3" borderId="43" xfId="0" applyFont="1" applyFill="1" applyBorder="1" applyAlignment="1">
      <alignment horizontal="center" vertical="center"/>
    </xf>
    <xf numFmtId="0" fontId="55" fillId="3" borderId="45" xfId="0" applyFont="1" applyFill="1" applyBorder="1"/>
    <xf numFmtId="0" fontId="57" fillId="11" borderId="0" xfId="0" applyFont="1" applyFill="1" applyAlignment="1">
      <alignment horizontal="center" vertical="center" wrapText="1"/>
    </xf>
    <xf numFmtId="0" fontId="57" fillId="11" borderId="0" xfId="0" applyFont="1" applyFill="1" applyAlignment="1">
      <alignment horizontal="center" vertical="center"/>
    </xf>
    <xf numFmtId="14" fontId="57" fillId="11" borderId="0" xfId="0" applyNumberFormat="1" applyFont="1" applyFill="1" applyAlignment="1">
      <alignment horizontal="center" vertical="center"/>
    </xf>
    <xf numFmtId="0" fontId="55" fillId="3" borderId="42" xfId="0" applyFont="1" applyFill="1" applyBorder="1" applyAlignment="1">
      <alignment horizontal="center" vertical="center"/>
    </xf>
    <xf numFmtId="0" fontId="55" fillId="3" borderId="41" xfId="0" applyFont="1" applyFill="1" applyBorder="1"/>
    <xf numFmtId="0" fontId="55" fillId="3" borderId="44" xfId="0" applyFont="1" applyFill="1" applyBorder="1"/>
    <xf numFmtId="0" fontId="55" fillId="3" borderId="46" xfId="0" applyFont="1" applyFill="1" applyBorder="1" applyAlignment="1">
      <alignment horizontal="center" vertical="center"/>
    </xf>
    <xf numFmtId="0" fontId="55" fillId="3" borderId="47" xfId="0" applyFont="1" applyFill="1" applyBorder="1"/>
    <xf numFmtId="0" fontId="55" fillId="3" borderId="48" xfId="0" applyFont="1" applyFill="1" applyBorder="1"/>
    <xf numFmtId="0" fontId="55" fillId="3" borderId="0" xfId="0" applyFont="1" applyFill="1" applyAlignment="1">
      <alignment horizontal="left" vertical="center"/>
    </xf>
    <xf numFmtId="0" fontId="55" fillId="3" borderId="0" xfId="0" applyFont="1" applyFill="1" applyAlignment="1">
      <alignment horizontal="left" vertical="center" wrapText="1"/>
    </xf>
    <xf numFmtId="0" fontId="57" fillId="3" borderId="0" xfId="0" applyFont="1" applyFill="1" applyAlignment="1">
      <alignment horizontal="center" vertical="center" wrapText="1"/>
    </xf>
    <xf numFmtId="0" fontId="57" fillId="3" borderId="0" xfId="0" applyFont="1" applyFill="1" applyAlignment="1">
      <alignment horizontal="center" vertical="center"/>
    </xf>
    <xf numFmtId="14" fontId="57" fillId="3" borderId="0" xfId="0" applyNumberFormat="1" applyFont="1" applyFill="1" applyAlignment="1">
      <alignment horizontal="center" vertical="center"/>
    </xf>
    <xf numFmtId="0" fontId="29" fillId="11" borderId="9" xfId="3" applyFont="1" applyFill="1" applyBorder="1" applyAlignment="1">
      <alignment horizontal="center" vertical="center"/>
    </xf>
    <xf numFmtId="0" fontId="29" fillId="11" borderId="25" xfId="3" applyFont="1" applyFill="1" applyBorder="1" applyAlignment="1">
      <alignment horizontal="left" vertical="center"/>
    </xf>
    <xf numFmtId="0" fontId="29" fillId="11" borderId="21" xfId="3" applyFont="1" applyFill="1" applyBorder="1" applyAlignment="1">
      <alignment horizontal="left" vertical="center"/>
    </xf>
    <xf numFmtId="0" fontId="29" fillId="11" borderId="25" xfId="3" applyFont="1" applyFill="1" applyBorder="1" applyAlignment="1">
      <alignment horizontal="center" vertical="center"/>
    </xf>
    <xf numFmtId="0" fontId="57" fillId="11" borderId="0" xfId="0" applyFont="1" applyFill="1" applyAlignment="1">
      <alignment horizontal="left" vertical="center" wrapText="1"/>
    </xf>
    <xf numFmtId="16" fontId="55" fillId="3" borderId="0" xfId="0" applyNumberFormat="1" applyFont="1" applyFill="1"/>
    <xf numFmtId="15" fontId="55" fillId="3" borderId="0" xfId="0" applyNumberFormat="1" applyFont="1" applyFill="1"/>
    <xf numFmtId="0" fontId="54" fillId="6" borderId="49" xfId="0" applyFont="1" applyFill="1" applyBorder="1"/>
    <xf numFmtId="0" fontId="55" fillId="3" borderId="0" xfId="0" applyFont="1" applyFill="1" applyAlignment="1">
      <alignment horizontal="right"/>
    </xf>
    <xf numFmtId="0" fontId="57" fillId="11" borderId="0" xfId="0" applyFont="1" applyFill="1"/>
    <xf numFmtId="0" fontId="54" fillId="3" borderId="16" xfId="0" applyFont="1" applyFill="1" applyBorder="1" applyAlignment="1">
      <alignment horizontal="left" vertical="center"/>
    </xf>
    <xf numFmtId="0" fontId="55" fillId="3" borderId="4" xfId="0" applyFont="1" applyFill="1" applyBorder="1"/>
    <xf numFmtId="9" fontId="55" fillId="3" borderId="14" xfId="1" applyFont="1" applyFill="1" applyBorder="1"/>
    <xf numFmtId="0" fontId="54" fillId="3" borderId="3" xfId="0" applyFont="1" applyFill="1" applyBorder="1" applyAlignment="1">
      <alignment horizontal="left" vertical="center" wrapText="1"/>
    </xf>
    <xf numFmtId="0" fontId="55" fillId="3" borderId="1" xfId="0" applyFont="1" applyFill="1" applyBorder="1"/>
    <xf numFmtId="9" fontId="55" fillId="3" borderId="2" xfId="1" applyFont="1" applyFill="1" applyBorder="1"/>
    <xf numFmtId="0" fontId="54" fillId="3" borderId="27" xfId="0" applyFont="1" applyFill="1" applyBorder="1" applyAlignment="1">
      <alignment horizontal="left" vertical="center" wrapText="1"/>
    </xf>
    <xf numFmtId="0" fontId="55" fillId="3" borderId="26" xfId="0" applyFont="1" applyFill="1" applyBorder="1"/>
    <xf numFmtId="9" fontId="55" fillId="3" borderId="28" xfId="1" applyFont="1" applyFill="1" applyBorder="1"/>
    <xf numFmtId="0" fontId="55" fillId="3" borderId="14" xfId="0" applyFont="1" applyFill="1" applyBorder="1"/>
    <xf numFmtId="0" fontId="55" fillId="3" borderId="2" xfId="0" applyFont="1" applyFill="1" applyBorder="1"/>
    <xf numFmtId="0" fontId="55" fillId="3" borderId="28" xfId="0" applyFont="1" applyFill="1" applyBorder="1"/>
    <xf numFmtId="0" fontId="55" fillId="3" borderId="16" xfId="0" applyFont="1" applyFill="1" applyBorder="1"/>
    <xf numFmtId="0" fontId="55" fillId="3" borderId="3" xfId="0" applyFont="1" applyFill="1" applyBorder="1"/>
    <xf numFmtId="0" fontId="55" fillId="3" borderId="27" xfId="0" applyFont="1" applyFill="1" applyBorder="1"/>
    <xf numFmtId="0" fontId="54" fillId="3" borderId="50" xfId="0" applyFont="1" applyFill="1" applyBorder="1"/>
    <xf numFmtId="0" fontId="0" fillId="0" borderId="50" xfId="0" applyBorder="1"/>
    <xf numFmtId="0" fontId="55" fillId="3" borderId="50" xfId="0" applyFont="1" applyFill="1" applyBorder="1"/>
    <xf numFmtId="9" fontId="55" fillId="3" borderId="41" xfId="0" applyNumberFormat="1" applyFont="1" applyFill="1" applyBorder="1"/>
    <xf numFmtId="0" fontId="30" fillId="5" borderId="10" xfId="3" applyFont="1" applyFill="1" applyBorder="1" applyAlignment="1" applyProtection="1">
      <alignment horizontal="center" vertical="center" wrapText="1"/>
      <protection hidden="1"/>
    </xf>
    <xf numFmtId="0" fontId="30" fillId="5" borderId="29" xfId="3" applyFont="1" applyFill="1" applyBorder="1" applyAlignment="1" applyProtection="1">
      <alignment horizontal="center" vertical="center" wrapText="1"/>
      <protection hidden="1"/>
    </xf>
    <xf numFmtId="0" fontId="30" fillId="2" borderId="10" xfId="3" applyFont="1" applyFill="1" applyBorder="1" applyAlignment="1" applyProtection="1">
      <alignment horizontal="center" vertical="center" wrapText="1"/>
      <protection hidden="1"/>
    </xf>
    <xf numFmtId="0" fontId="30" fillId="2" borderId="11" xfId="3" applyFont="1" applyFill="1" applyBorder="1" applyAlignment="1" applyProtection="1">
      <alignment horizontal="center" vertical="center" wrapText="1"/>
      <protection hidden="1"/>
    </xf>
    <xf numFmtId="0" fontId="53" fillId="0" borderId="0" xfId="0" applyFont="1" applyAlignment="1">
      <alignment horizontal="center"/>
    </xf>
    <xf numFmtId="0" fontId="39" fillId="7" borderId="18" xfId="3" applyFont="1" applyFill="1" applyBorder="1" applyAlignment="1" applyProtection="1">
      <alignment horizontal="left" vertical="center"/>
      <protection hidden="1"/>
    </xf>
    <xf numFmtId="0" fontId="39" fillId="7" borderId="19" xfId="3" applyFont="1" applyFill="1" applyBorder="1" applyAlignment="1" applyProtection="1">
      <alignment horizontal="left" vertical="center"/>
      <protection hidden="1"/>
    </xf>
    <xf numFmtId="0" fontId="39" fillId="10" borderId="17" xfId="3" applyFont="1" applyFill="1" applyBorder="1" applyAlignment="1" applyProtection="1">
      <alignment horizontal="left" vertical="center"/>
      <protection hidden="1"/>
    </xf>
    <xf numFmtId="0" fontId="39" fillId="10" borderId="0" xfId="3" applyFont="1" applyFill="1" applyBorder="1" applyAlignment="1" applyProtection="1">
      <alignment horizontal="left" vertical="center"/>
      <protection hidden="1"/>
    </xf>
    <xf numFmtId="0" fontId="29" fillId="11" borderId="9" xfId="3" applyFont="1" applyFill="1" applyBorder="1" applyAlignment="1">
      <alignment horizontal="left" vertical="center"/>
    </xf>
    <xf numFmtId="0" fontId="31" fillId="3" borderId="23" xfId="3" applyFont="1" applyFill="1" applyBorder="1" applyAlignment="1" applyProtection="1">
      <alignment horizontal="left" vertical="center"/>
      <protection hidden="1"/>
    </xf>
    <xf numFmtId="0" fontId="31" fillId="3" borderId="24" xfId="3" applyFont="1" applyFill="1" applyBorder="1" applyAlignment="1" applyProtection="1">
      <alignment horizontal="left" vertical="center"/>
      <protection hidden="1"/>
    </xf>
    <xf numFmtId="0" fontId="31" fillId="3" borderId="2" xfId="3" applyFont="1" applyFill="1" applyBorder="1" applyAlignment="1" applyProtection="1">
      <alignment horizontal="left" vertical="center"/>
      <protection hidden="1"/>
    </xf>
    <xf numFmtId="0" fontId="31" fillId="3" borderId="3" xfId="3" applyFont="1" applyFill="1" applyBorder="1" applyAlignment="1" applyProtection="1">
      <alignment horizontal="left" vertical="center"/>
      <protection hidden="1"/>
    </xf>
    <xf numFmtId="0" fontId="30" fillId="10" borderId="35" xfId="3" applyFont="1" applyFill="1" applyBorder="1" applyAlignment="1" applyProtection="1">
      <alignment horizontal="center" vertical="center" wrapText="1"/>
      <protection hidden="1"/>
    </xf>
    <xf numFmtId="0" fontId="30" fillId="10" borderId="10" xfId="3" applyFont="1" applyFill="1" applyBorder="1" applyAlignment="1" applyProtection="1">
      <alignment horizontal="center" vertical="center" wrapText="1"/>
      <protection hidden="1"/>
    </xf>
    <xf numFmtId="0" fontId="30" fillId="10" borderId="29" xfId="3" applyFont="1" applyFill="1" applyBorder="1" applyAlignment="1" applyProtection="1">
      <alignment horizontal="center" vertical="center" wrapText="1"/>
      <protection hidden="1"/>
    </xf>
    <xf numFmtId="0" fontId="31" fillId="10" borderId="36" xfId="3" applyFont="1" applyFill="1" applyBorder="1" applyAlignment="1" applyProtection="1">
      <alignment horizontal="left" vertical="center"/>
      <protection hidden="1"/>
    </xf>
    <xf numFmtId="0" fontId="31" fillId="10" borderId="37" xfId="3" applyFont="1" applyFill="1" applyBorder="1" applyAlignment="1" applyProtection="1">
      <alignment horizontal="left" vertical="center"/>
      <protection hidden="1"/>
    </xf>
    <xf numFmtId="0" fontId="31" fillId="10" borderId="22" xfId="3" applyFont="1" applyFill="1" applyBorder="1" applyAlignment="1" applyProtection="1">
      <alignment horizontal="left" vertical="center"/>
      <protection hidden="1"/>
    </xf>
    <xf numFmtId="0" fontId="31" fillId="10" borderId="3" xfId="3" applyFont="1" applyFill="1" applyBorder="1" applyAlignment="1" applyProtection="1">
      <alignment horizontal="left" vertical="center"/>
      <protection hidden="1"/>
    </xf>
    <xf numFmtId="0" fontId="31" fillId="10" borderId="33" xfId="3" applyFont="1" applyFill="1" applyBorder="1" applyAlignment="1" applyProtection="1">
      <alignment horizontal="left" vertical="center"/>
      <protection hidden="1"/>
    </xf>
    <xf numFmtId="0" fontId="31" fillId="10" borderId="30" xfId="3" applyFont="1" applyFill="1" applyBorder="1" applyAlignment="1" applyProtection="1">
      <alignment horizontal="left" vertical="center"/>
      <protection hidden="1"/>
    </xf>
    <xf numFmtId="0" fontId="31" fillId="3" borderId="28" xfId="3" applyFont="1" applyFill="1" applyBorder="1" applyAlignment="1" applyProtection="1">
      <alignment horizontal="left" vertical="center"/>
      <protection hidden="1"/>
    </xf>
    <xf numFmtId="0" fontId="31" fillId="3" borderId="27" xfId="3" applyFont="1" applyFill="1" applyBorder="1" applyAlignment="1" applyProtection="1">
      <alignment horizontal="left" vertical="center"/>
      <protection hidden="1"/>
    </xf>
    <xf numFmtId="0" fontId="31" fillId="3" borderId="2" xfId="3" applyFont="1" applyFill="1" applyBorder="1" applyAlignment="1" applyProtection="1">
      <alignment horizontal="left" vertical="top"/>
      <protection hidden="1"/>
    </xf>
    <xf numFmtId="0" fontId="31" fillId="3" borderId="3" xfId="3" applyFont="1" applyFill="1" applyBorder="1" applyAlignment="1" applyProtection="1">
      <alignment horizontal="left" vertical="top"/>
      <protection hidden="1"/>
    </xf>
    <xf numFmtId="0" fontId="33" fillId="7" borderId="14" xfId="3" applyFont="1" applyFill="1" applyBorder="1" applyAlignment="1">
      <alignment horizontal="left" vertical="center"/>
    </xf>
    <xf numFmtId="0" fontId="33" fillId="7" borderId="15" xfId="3" applyFont="1" applyFill="1" applyBorder="1" applyAlignment="1">
      <alignment horizontal="left" vertical="center"/>
    </xf>
    <xf numFmtId="0" fontId="31" fillId="8" borderId="4" xfId="3" applyFont="1" applyFill="1" applyBorder="1" applyAlignment="1" applyProtection="1">
      <alignment horizontal="left" vertical="center"/>
      <protection hidden="1"/>
    </xf>
    <xf numFmtId="0" fontId="31" fillId="9" borderId="1" xfId="3" applyFont="1" applyFill="1" applyBorder="1" applyAlignment="1" applyProtection="1">
      <alignment horizontal="left" vertical="center"/>
      <protection hidden="1"/>
    </xf>
    <xf numFmtId="0" fontId="31" fillId="2" borderId="1" xfId="3" applyFont="1" applyFill="1" applyBorder="1" applyAlignment="1" applyProtection="1">
      <alignment horizontal="left" vertical="center"/>
      <protection hidden="1"/>
    </xf>
    <xf numFmtId="0" fontId="43" fillId="3" borderId="6" xfId="0" applyFont="1" applyFill="1" applyBorder="1" applyAlignment="1">
      <alignment horizontal="center" vertical="center"/>
    </xf>
    <xf numFmtId="9" fontId="47" fillId="0" borderId="7" xfId="1" applyFont="1" applyBorder="1" applyAlignment="1">
      <alignment horizontal="center" vertical="center"/>
    </xf>
    <xf numFmtId="9" fontId="47" fillId="0" borderId="0" xfId="1" applyFont="1" applyBorder="1" applyAlignment="1">
      <alignment horizontal="center" vertical="center"/>
    </xf>
    <xf numFmtId="10" fontId="50" fillId="0" borderId="0" xfId="1" applyNumberFormat="1" applyFont="1" applyBorder="1" applyAlignment="1">
      <alignment horizontal="center" vertical="top"/>
    </xf>
    <xf numFmtId="9" fontId="50" fillId="0" borderId="0" xfId="0" applyNumberFormat="1" applyFont="1" applyAlignment="1">
      <alignment horizontal="center" vertical="top"/>
    </xf>
    <xf numFmtId="0" fontId="50" fillId="0" borderId="0" xfId="0" applyFont="1" applyAlignment="1">
      <alignment horizontal="center" vertical="top"/>
    </xf>
    <xf numFmtId="0" fontId="43" fillId="3" borderId="6" xfId="0" applyFont="1" applyFill="1" applyBorder="1" applyAlignment="1">
      <alignment horizontal="center" vertical="center" wrapText="1"/>
    </xf>
    <xf numFmtId="167" fontId="52" fillId="0" borderId="7" xfId="1" applyNumberFormat="1" applyFont="1" applyBorder="1" applyAlignment="1">
      <alignment horizontal="center" vertical="center" wrapText="1"/>
    </xf>
    <xf numFmtId="167" fontId="52" fillId="0" borderId="0" xfId="1" applyNumberFormat="1" applyFont="1" applyBorder="1" applyAlignment="1">
      <alignment horizontal="center" vertical="center" wrapText="1"/>
    </xf>
    <xf numFmtId="9" fontId="45" fillId="0" borderId="0" xfId="0" applyNumberFormat="1" applyFont="1" applyAlignment="1">
      <alignment horizontal="center" vertical="top"/>
    </xf>
    <xf numFmtId="167" fontId="52" fillId="0" borderId="0" xfId="4" applyNumberFormat="1" applyFont="1" applyBorder="1" applyAlignment="1">
      <alignment horizontal="center" vertical="center"/>
    </xf>
    <xf numFmtId="1" fontId="47" fillId="0" borderId="0" xfId="0" applyNumberFormat="1" applyFont="1" applyAlignment="1">
      <alignment horizontal="center" vertical="center"/>
    </xf>
    <xf numFmtId="1" fontId="47" fillId="0" borderId="0" xfId="1" applyNumberFormat="1" applyFont="1" applyBorder="1" applyAlignment="1">
      <alignment horizontal="center" vertical="center"/>
    </xf>
    <xf numFmtId="0" fontId="40" fillId="2" borderId="0" xfId="0" applyFont="1" applyFill="1" applyAlignment="1">
      <alignment horizontal="left" vertical="center"/>
    </xf>
    <xf numFmtId="0" fontId="42" fillId="2" borderId="0" xfId="0" applyFont="1" applyFill="1" applyAlignment="1">
      <alignment horizontal="right" vertical="center"/>
    </xf>
    <xf numFmtId="0" fontId="58" fillId="3" borderId="0" xfId="0" applyFont="1" applyFill="1" applyAlignment="1">
      <alignment horizontal="left" vertical="center"/>
    </xf>
    <xf numFmtId="0" fontId="17" fillId="0" borderId="0" xfId="0" applyFont="1" applyAlignment="1">
      <alignment horizontal="center" wrapText="1"/>
    </xf>
    <xf numFmtId="0" fontId="11" fillId="3" borderId="0" xfId="3" applyFont="1" applyFill="1" applyBorder="1" applyAlignment="1" applyProtection="1">
      <alignment horizontal="left" vertical="center"/>
      <protection hidden="1"/>
    </xf>
    <xf numFmtId="0" fontId="11" fillId="3" borderId="12" xfId="3" applyFont="1" applyFill="1" applyBorder="1" applyAlignment="1" applyProtection="1">
      <alignment horizontal="left" vertical="center"/>
      <protection hidden="1"/>
    </xf>
    <xf numFmtId="0" fontId="13" fillId="0" borderId="0" xfId="3" applyFont="1" applyFill="1" applyBorder="1" applyAlignment="1" applyProtection="1">
      <alignment horizontal="center" vertical="center" wrapText="1"/>
      <protection hidden="1"/>
    </xf>
    <xf numFmtId="0" fontId="59" fillId="3" borderId="0" xfId="0" applyFont="1" applyFill="1" applyAlignment="1">
      <alignment horizontal="left" vertical="center" wrapText="1"/>
    </xf>
    <xf numFmtId="0" fontId="60" fillId="3" borderId="0" xfId="0" applyFont="1" applyFill="1" applyAlignment="1">
      <alignment horizontal="left" vertical="center" wrapText="1"/>
    </xf>
    <xf numFmtId="0" fontId="60" fillId="3" borderId="0" xfId="0" applyFont="1" applyFill="1" applyAlignment="1">
      <alignment horizontal="left" vertical="center"/>
    </xf>
    <xf numFmtId="0" fontId="61" fillId="3" borderId="0" xfId="0" applyFont="1" applyFill="1" applyAlignment="1">
      <alignment horizontal="center" vertical="center"/>
    </xf>
  </cellXfs>
  <cellStyles count="5">
    <cellStyle name="Comma" xfId="2" builtinId="3"/>
    <cellStyle name="Currency" xfId="4" builtinId="4"/>
    <cellStyle name="Explanatory Text" xfId="3" builtinId="53"/>
    <cellStyle name="Normal" xfId="0" builtinId="0"/>
    <cellStyle name="Percent" xfId="1" builtinId="5"/>
  </cellStyles>
  <dxfs count="62">
    <dxf>
      <font>
        <b/>
        <i/>
        <color rgb="FF01B1A3"/>
      </font>
    </dxf>
    <dxf>
      <font>
        <b/>
        <i/>
        <color rgb="FFFB5A56"/>
      </font>
    </dxf>
    <dxf>
      <font>
        <b/>
        <i/>
        <color rgb="FF01B1A3"/>
      </font>
    </dxf>
    <dxf>
      <font>
        <b/>
        <i/>
        <color rgb="FFFB5A56"/>
      </font>
    </dxf>
    <dxf>
      <font>
        <b/>
        <i/>
        <color rgb="FF01B1A3"/>
      </font>
    </dxf>
    <dxf>
      <font>
        <b/>
        <i/>
        <color rgb="FFFB5A56"/>
      </font>
    </dxf>
    <dxf>
      <font>
        <b/>
        <i/>
        <color rgb="FF01B1A3"/>
      </font>
    </dxf>
    <dxf>
      <font>
        <b/>
        <i/>
        <color rgb="FFFB5A56"/>
      </font>
    </dxf>
    <dxf>
      <font>
        <b/>
        <i/>
        <color rgb="FF01B1A3"/>
      </font>
    </dxf>
    <dxf>
      <font>
        <b/>
        <i/>
        <color rgb="FFFB5A56"/>
      </font>
    </dxf>
    <dxf>
      <font>
        <b/>
        <i/>
        <color rgb="FF01B1A3"/>
      </font>
    </dxf>
    <dxf>
      <font>
        <b/>
        <i/>
        <color rgb="FFFB5A56"/>
      </font>
    </dxf>
    <dxf>
      <font>
        <b/>
        <i/>
        <color rgb="FF01B1A3"/>
      </font>
    </dxf>
    <dxf>
      <font>
        <b/>
        <i/>
        <color rgb="FFFB5A56"/>
      </font>
    </dxf>
    <dxf>
      <font>
        <b/>
        <i/>
        <color rgb="FF01B1A3"/>
      </font>
    </dxf>
    <dxf>
      <font>
        <b/>
        <i/>
        <color rgb="FFFB5A56"/>
      </font>
    </dxf>
    <dxf>
      <font>
        <b/>
        <i/>
        <color rgb="FF01B1A3"/>
      </font>
    </dxf>
    <dxf>
      <font>
        <b/>
        <i/>
        <color rgb="FFFB5A56"/>
      </font>
    </dxf>
    <dxf>
      <font>
        <color rgb="FFFB5A56"/>
      </font>
    </dxf>
    <dxf>
      <font>
        <color rgb="FF01B1A3"/>
      </font>
    </dxf>
    <dxf>
      <font>
        <b/>
        <i/>
        <color theme="1" tint="0.499984740745262"/>
      </font>
    </dxf>
    <dxf>
      <font>
        <color rgb="FF01B1A3"/>
      </font>
    </dxf>
    <dxf>
      <font>
        <color rgb="FFFB5A56"/>
      </font>
    </dxf>
    <dxf>
      <font>
        <color rgb="FF01B1A3"/>
      </font>
    </dxf>
    <dxf>
      <font>
        <color rgb="FFFB5A56"/>
      </font>
    </dxf>
    <dxf>
      <font>
        <color rgb="FF01B1A3"/>
      </font>
    </dxf>
    <dxf>
      <font>
        <color rgb="FFFB5A56"/>
      </font>
    </dxf>
    <dxf>
      <font>
        <color rgb="FF01B1A3"/>
      </font>
    </dxf>
    <dxf>
      <font>
        <color rgb="FFFB5A56"/>
      </font>
    </dxf>
    <dxf>
      <font>
        <color rgb="FFFB5A56"/>
      </font>
    </dxf>
    <dxf>
      <font>
        <color rgb="FF01B1A3"/>
      </font>
    </dxf>
    <dxf>
      <font>
        <color rgb="FFFB5A56"/>
      </font>
    </dxf>
    <dxf>
      <font>
        <color auto="1"/>
      </font>
    </dxf>
    <dxf>
      <font>
        <b/>
        <i/>
        <color rgb="FF01B1A3"/>
      </font>
    </dxf>
    <dxf>
      <font>
        <b/>
        <i/>
        <color rgb="FFFB5A56"/>
      </font>
    </dxf>
    <dxf>
      <font>
        <b/>
        <i/>
        <color rgb="FF01B1A3"/>
      </font>
    </dxf>
    <dxf>
      <font>
        <color auto="1"/>
      </font>
    </dxf>
    <dxf>
      <font>
        <b/>
        <i/>
        <color rgb="FFFB5A56"/>
      </font>
    </dxf>
    <dxf>
      <font>
        <b/>
        <i/>
        <color rgb="FFFB5A56"/>
      </font>
    </dxf>
    <dxf>
      <font>
        <b/>
        <i/>
        <color rgb="FF01B1A3"/>
      </font>
    </dxf>
    <dxf>
      <font>
        <b/>
        <i/>
        <color rgb="FF5C6769"/>
      </font>
    </dxf>
    <dxf>
      <font>
        <b/>
        <i/>
        <color rgb="FFFB5A56"/>
      </font>
    </dxf>
    <dxf>
      <font>
        <b/>
        <i/>
        <color rgb="FF01B1A3"/>
      </font>
    </dxf>
    <dxf>
      <font>
        <b/>
        <i/>
        <color rgb="FF5C6769"/>
      </font>
    </dxf>
    <dxf>
      <font>
        <b/>
        <i/>
        <color rgb="FFFB5A56"/>
      </font>
    </dxf>
    <dxf>
      <font>
        <b/>
        <i/>
        <color rgb="FF01B1A3"/>
      </font>
    </dxf>
    <dxf>
      <font>
        <b/>
        <i/>
        <color rgb="FF5C6769"/>
      </font>
    </dxf>
    <dxf>
      <font>
        <b/>
        <i/>
        <color rgb="FF01B1A3"/>
      </font>
    </dxf>
    <dxf>
      <font>
        <b/>
        <i/>
        <color rgb="FFFB5A56"/>
      </font>
    </dxf>
    <dxf>
      <font>
        <b/>
        <i/>
        <color rgb="FF5C6769"/>
      </font>
    </dxf>
    <dxf>
      <font>
        <b/>
        <i/>
        <color rgb="FF01B1A3"/>
      </font>
    </dxf>
    <dxf>
      <font>
        <b/>
        <i/>
        <color rgb="FFFB5A56"/>
      </font>
    </dxf>
    <dxf>
      <font>
        <b/>
        <i/>
        <color rgb="FF5C6769"/>
      </font>
    </dxf>
    <dxf>
      <font>
        <b/>
        <i/>
        <color rgb="FFFB5A56"/>
      </font>
    </dxf>
    <dxf>
      <font>
        <b/>
        <i/>
        <color rgb="FF01B1A3"/>
      </font>
    </dxf>
    <dxf>
      <font>
        <b/>
        <i/>
        <color rgb="FF5C6769"/>
      </font>
    </dxf>
    <dxf>
      <font>
        <color rgb="FFFB5A56"/>
      </font>
    </dxf>
    <dxf>
      <font>
        <color rgb="FF01B1A3"/>
      </font>
    </dxf>
    <dxf>
      <font>
        <b/>
        <i/>
        <color theme="1" tint="0.499984740745262"/>
      </font>
    </dxf>
    <dxf>
      <font>
        <color rgb="FFFB5A56"/>
      </font>
    </dxf>
    <dxf>
      <font>
        <color rgb="FF01B1A3"/>
      </font>
    </dxf>
    <dxf>
      <font>
        <b/>
        <i/>
        <color theme="1" tint="0.499984740745262"/>
      </font>
    </dxf>
  </dxfs>
  <tableStyles count="1" defaultTableStyle="TableStyleMedium9" defaultPivotStyle="PivotStyleLight16">
    <tableStyle name="Invisible" pivot="0" table="0" count="0" xr9:uid="{5F175898-320E-4424-BF09-9CBFF5A97982}"/>
  </tableStyles>
  <colors>
    <indexedColors>
      <rgbColor rgb="00000000"/>
      <rgbColor rgb="00FFFFFF"/>
      <rgbColor rgb="00FF0000"/>
      <rgbColor rgb="0000FF00"/>
      <rgbColor rgb="000000FF"/>
      <rgbColor rgb="00FFFF00"/>
      <rgbColor rgb="00FF00FF"/>
      <rgbColor rgb="0000FFFF"/>
      <rgbColor rgb="000066CC"/>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B5A56"/>
      <color rgb="FF01B1A3"/>
      <color rgb="FF5C6769"/>
      <color rgb="FF4F83BD"/>
      <color rgb="FF5D90AF"/>
      <color rgb="FF499AC3"/>
      <color rgb="FF435361"/>
      <color rgb="FFE2E2E2"/>
      <color rgb="FFF4EFFF"/>
      <color rgb="FFE7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1"/>
          <c:order val="0"/>
          <c:spPr>
            <a:ln w="25400">
              <a:solidFill>
                <a:srgbClr val="4F83BD"/>
              </a:solidFill>
            </a:ln>
            <a:effectLst>
              <a:outerShdw blurRad="63500" sx="102000" sy="102000" algn="ctr" rotWithShape="0">
                <a:prstClr val="black">
                  <a:alpha val="40000"/>
                </a:prstClr>
              </a:outerShdw>
            </a:effectLst>
          </c:spPr>
          <c:marker>
            <c:symbol val="none"/>
          </c:marker>
          <c:val>
            <c:numRef>
              <c:f>KPIs!$E$3:$P$3</c:f>
              <c:numCache>
                <c:formatCode>_ [$AED]\ * #,##0.00_ ;_ [$AED]\ * \-#,##0.00_ ;_ [$AED]\ * "-"??_ ;_ @_ </c:formatCode>
                <c:ptCount val="12"/>
                <c:pt idx="0">
                  <c:v>8000</c:v>
                </c:pt>
                <c:pt idx="1">
                  <c:v>5000</c:v>
                </c:pt>
                <c:pt idx="2">
                  <c:v>4500</c:v>
                </c:pt>
                <c:pt idx="3">
                  <c:v>10000</c:v>
                </c:pt>
                <c:pt idx="4">
                  <c:v>12000</c:v>
                </c:pt>
                <c:pt idx="5">
                  <c:v>4000</c:v>
                </c:pt>
                <c:pt idx="6">
                  <c:v>6000</c:v>
                </c:pt>
                <c:pt idx="7">
                  <c:v>4000</c:v>
                </c:pt>
                <c:pt idx="8">
                  <c:v>3498</c:v>
                </c:pt>
                <c:pt idx="9">
                  <c:v>8000</c:v>
                </c:pt>
                <c:pt idx="10">
                  <c:v>7500</c:v>
                </c:pt>
                <c:pt idx="11">
                  <c:v>9654</c:v>
                </c:pt>
              </c:numCache>
            </c:numRef>
          </c:val>
          <c:smooth val="1"/>
          <c:extLst>
            <c:ext xmlns:c16="http://schemas.microsoft.com/office/drawing/2014/chart" uri="{C3380CC4-5D6E-409C-BE32-E72D297353CC}">
              <c16:uniqueId val="{00000002-81BD-439E-B39D-9EB695AFF86F}"/>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_ [$AED]\ * #,##0.00_ ;_ [$AED]\ * \-#,##0.00_ ;_ [$AED]\ * &quot;-&quot;??_ ;_ @_ " sourceLinked="1"/>
        <c:majorTickMark val="none"/>
        <c:minorTickMark val="none"/>
        <c:tickLblPos val="nextTo"/>
        <c:crossAx val="457655680"/>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KPIs!$E$4:$P$4</c:f>
              <c:numCache>
                <c:formatCode>0</c:formatCode>
                <c:ptCount val="12"/>
                <c:pt idx="0">
                  <c:v>25</c:v>
                </c:pt>
                <c:pt idx="1">
                  <c:v>20</c:v>
                </c:pt>
                <c:pt idx="2">
                  <c:v>25</c:v>
                </c:pt>
                <c:pt idx="3">
                  <c:v>20</c:v>
                </c:pt>
                <c:pt idx="4">
                  <c:v>22</c:v>
                </c:pt>
                <c:pt idx="5">
                  <c:v>21</c:v>
                </c:pt>
                <c:pt idx="6">
                  <c:v>24</c:v>
                </c:pt>
                <c:pt idx="7">
                  <c:v>19</c:v>
                </c:pt>
                <c:pt idx="8">
                  <c:v>17</c:v>
                </c:pt>
                <c:pt idx="9">
                  <c:v>18</c:v>
                </c:pt>
                <c:pt idx="10">
                  <c:v>15</c:v>
                </c:pt>
                <c:pt idx="11">
                  <c:v>5</c:v>
                </c:pt>
              </c:numCache>
            </c:numRef>
          </c:val>
          <c:smooth val="1"/>
          <c:extLst>
            <c:ext xmlns:c16="http://schemas.microsoft.com/office/drawing/2014/chart" uri="{C3380CC4-5D6E-409C-BE32-E72D297353CC}">
              <c16:uniqueId val="{00000000-57BA-4ADC-B15B-CA1D36721293}"/>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KPIs!$E$5:$P$5</c:f>
              <c:numCache>
                <c:formatCode>0</c:formatCode>
                <c:ptCount val="12"/>
                <c:pt idx="0">
                  <c:v>5</c:v>
                </c:pt>
                <c:pt idx="1">
                  <c:v>5</c:v>
                </c:pt>
                <c:pt idx="2">
                  <c:v>4</c:v>
                </c:pt>
                <c:pt idx="3">
                  <c:v>7</c:v>
                </c:pt>
                <c:pt idx="4">
                  <c:v>3</c:v>
                </c:pt>
                <c:pt idx="5">
                  <c:v>8</c:v>
                </c:pt>
                <c:pt idx="6">
                  <c:v>1</c:v>
                </c:pt>
                <c:pt idx="7">
                  <c:v>9</c:v>
                </c:pt>
                <c:pt idx="8">
                  <c:v>8</c:v>
                </c:pt>
                <c:pt idx="9">
                  <c:v>7</c:v>
                </c:pt>
                <c:pt idx="10">
                  <c:v>7</c:v>
                </c:pt>
                <c:pt idx="11">
                  <c:v>8</c:v>
                </c:pt>
              </c:numCache>
            </c:numRef>
          </c:val>
          <c:smooth val="1"/>
          <c:extLst>
            <c:ext xmlns:c16="http://schemas.microsoft.com/office/drawing/2014/chart" uri="{C3380CC4-5D6E-409C-BE32-E72D297353CC}">
              <c16:uniqueId val="{00000000-C1F4-4337-B531-AD606AE645F8}"/>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KPIs!$E$6:$P$6</c:f>
              <c:numCache>
                <c:formatCode>0%</c:formatCode>
                <c:ptCount val="12"/>
                <c:pt idx="0">
                  <c:v>0.9</c:v>
                </c:pt>
                <c:pt idx="1">
                  <c:v>0.95</c:v>
                </c:pt>
                <c:pt idx="2">
                  <c:v>0.99</c:v>
                </c:pt>
                <c:pt idx="3">
                  <c:v>0.98</c:v>
                </c:pt>
                <c:pt idx="4">
                  <c:v>0.96</c:v>
                </c:pt>
                <c:pt idx="5">
                  <c:v>0.93</c:v>
                </c:pt>
                <c:pt idx="6">
                  <c:v>0.92</c:v>
                </c:pt>
                <c:pt idx="7">
                  <c:v>0.95</c:v>
                </c:pt>
                <c:pt idx="8">
                  <c:v>0.98</c:v>
                </c:pt>
                <c:pt idx="9">
                  <c:v>0.99</c:v>
                </c:pt>
                <c:pt idx="10">
                  <c:v>0.95</c:v>
                </c:pt>
                <c:pt idx="11">
                  <c:v>0.99</c:v>
                </c:pt>
              </c:numCache>
            </c:numRef>
          </c:val>
          <c:smooth val="1"/>
          <c:extLst>
            <c:ext xmlns:c16="http://schemas.microsoft.com/office/drawing/2014/chart" uri="{C3380CC4-5D6E-409C-BE32-E72D297353CC}">
              <c16:uniqueId val="{00000000-74BF-4EDF-9914-49A0279D737C}"/>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KPIs!$E$7:$P$7</c:f>
              <c:numCache>
                <c:formatCode>0%</c:formatCode>
                <c:ptCount val="12"/>
                <c:pt idx="0">
                  <c:v>0.02</c:v>
                </c:pt>
                <c:pt idx="1">
                  <c:v>0.17</c:v>
                </c:pt>
                <c:pt idx="2">
                  <c:v>0.08</c:v>
                </c:pt>
                <c:pt idx="3">
                  <c:v>0.05</c:v>
                </c:pt>
                <c:pt idx="4">
                  <c:v>0.04</c:v>
                </c:pt>
                <c:pt idx="5">
                  <c:v>0.05</c:v>
                </c:pt>
                <c:pt idx="6">
                  <c:v>0.01</c:v>
                </c:pt>
                <c:pt idx="7">
                  <c:v>0.09</c:v>
                </c:pt>
                <c:pt idx="8">
                  <c:v>0.1</c:v>
                </c:pt>
                <c:pt idx="9">
                  <c:v>0.02</c:v>
                </c:pt>
                <c:pt idx="10">
                  <c:v>0.06</c:v>
                </c:pt>
                <c:pt idx="11">
                  <c:v>7.0000000000000007E-2</c:v>
                </c:pt>
              </c:numCache>
            </c:numRef>
          </c:val>
          <c:smooth val="1"/>
          <c:extLst>
            <c:ext xmlns:c16="http://schemas.microsoft.com/office/drawing/2014/chart" uri="{C3380CC4-5D6E-409C-BE32-E72D297353CC}">
              <c16:uniqueId val="{00000000-5D83-41F4-AE5F-892ECE753B60}"/>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KPIs!$E$12:$P$12</c:f>
              <c:numCache>
                <c:formatCode>0%</c:formatCode>
                <c:ptCount val="12"/>
                <c:pt idx="0">
                  <c:v>0.4</c:v>
                </c:pt>
                <c:pt idx="1">
                  <c:v>0.42</c:v>
                </c:pt>
                <c:pt idx="2">
                  <c:v>0.45</c:v>
                </c:pt>
                <c:pt idx="3">
                  <c:v>0.43</c:v>
                </c:pt>
                <c:pt idx="4">
                  <c:v>0.435</c:v>
                </c:pt>
                <c:pt idx="5">
                  <c:v>0.42</c:v>
                </c:pt>
                <c:pt idx="6">
                  <c:v>0.41</c:v>
                </c:pt>
                <c:pt idx="7">
                  <c:v>0.45</c:v>
                </c:pt>
                <c:pt idx="8">
                  <c:v>0.46</c:v>
                </c:pt>
                <c:pt idx="9">
                  <c:v>0.47</c:v>
                </c:pt>
                <c:pt idx="10">
                  <c:v>0.48</c:v>
                </c:pt>
                <c:pt idx="11">
                  <c:v>0.47399999999999998</c:v>
                </c:pt>
              </c:numCache>
            </c:numRef>
          </c:val>
          <c:smooth val="1"/>
          <c:extLst>
            <c:ext xmlns:c16="http://schemas.microsoft.com/office/drawing/2014/chart" uri="{C3380CC4-5D6E-409C-BE32-E72D297353CC}">
              <c16:uniqueId val="{00000000-F779-482C-9A72-14BC1E0224B5}"/>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1"/>
          <c:order val="0"/>
          <c:spPr>
            <a:ln w="25400">
              <a:solidFill>
                <a:srgbClr val="4F83BD"/>
              </a:solidFill>
            </a:ln>
            <a:effectLst>
              <a:outerShdw blurRad="63500" sx="102000" sy="102000" algn="ctr" rotWithShape="0">
                <a:prstClr val="black">
                  <a:alpha val="40000"/>
                </a:prstClr>
              </a:outerShdw>
            </a:effectLst>
          </c:spPr>
          <c:marker>
            <c:symbol val="none"/>
          </c:marker>
          <c:val>
            <c:numRef>
              <c:f>KPIs!$E$11:$P$11</c:f>
              <c:numCache>
                <c:formatCode>0%</c:formatCode>
                <c:ptCount val="12"/>
                <c:pt idx="0">
                  <c:v>0.5</c:v>
                </c:pt>
                <c:pt idx="1">
                  <c:v>0.55000000000000004</c:v>
                </c:pt>
                <c:pt idx="2">
                  <c:v>0.6</c:v>
                </c:pt>
                <c:pt idx="3">
                  <c:v>0.57999999999999996</c:v>
                </c:pt>
                <c:pt idx="4">
                  <c:v>0.68</c:v>
                </c:pt>
                <c:pt idx="5">
                  <c:v>0.62</c:v>
                </c:pt>
                <c:pt idx="6">
                  <c:v>0.59</c:v>
                </c:pt>
                <c:pt idx="7">
                  <c:v>0.57999999999999996</c:v>
                </c:pt>
                <c:pt idx="8">
                  <c:v>0.53</c:v>
                </c:pt>
                <c:pt idx="9">
                  <c:v>0.67</c:v>
                </c:pt>
                <c:pt idx="10">
                  <c:v>0.5</c:v>
                </c:pt>
                <c:pt idx="11">
                  <c:v>0.62</c:v>
                </c:pt>
              </c:numCache>
            </c:numRef>
          </c:val>
          <c:smooth val="1"/>
          <c:extLst>
            <c:ext xmlns:c16="http://schemas.microsoft.com/office/drawing/2014/chart" uri="{C3380CC4-5D6E-409C-BE32-E72D297353CC}">
              <c16:uniqueId val="{00000000-55E2-44B9-AD37-60BC705F505C}"/>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434345226642"/>
          <c:y val="0.26518312907247538"/>
          <c:w val="0.82704402515723274"/>
          <c:h val="0.69372215101019341"/>
        </c:manualLayout>
      </c:layout>
      <c:lineChart>
        <c:grouping val="standard"/>
        <c:varyColors val="0"/>
        <c:ser>
          <c:idx val="1"/>
          <c:order val="0"/>
          <c:spPr>
            <a:ln w="25400">
              <a:solidFill>
                <a:srgbClr val="4F83BD"/>
              </a:solidFill>
            </a:ln>
            <a:effectLst>
              <a:outerShdw blurRad="63500" sx="102000" sy="102000" algn="ctr" rotWithShape="0">
                <a:prstClr val="black">
                  <a:alpha val="40000"/>
                </a:prstClr>
              </a:outerShdw>
            </a:effectLst>
          </c:spPr>
          <c:marker>
            <c:symbol val="none"/>
          </c:marker>
          <c:val>
            <c:numRef>
              <c:f>KPIs!$E$9:$P$9</c:f>
              <c:numCache>
                <c:formatCode>0%</c:formatCode>
                <c:ptCount val="12"/>
                <c:pt idx="0">
                  <c:v>0.08</c:v>
                </c:pt>
                <c:pt idx="1">
                  <c:v>0.06</c:v>
                </c:pt>
                <c:pt idx="2">
                  <c:v>0.08</c:v>
                </c:pt>
                <c:pt idx="3">
                  <c:v>0.1</c:v>
                </c:pt>
                <c:pt idx="4">
                  <c:v>0.04</c:v>
                </c:pt>
                <c:pt idx="5">
                  <c:v>7.0000000000000007E-2</c:v>
                </c:pt>
                <c:pt idx="6">
                  <c:v>0.02</c:v>
                </c:pt>
                <c:pt idx="7">
                  <c:v>0.08</c:v>
                </c:pt>
                <c:pt idx="8">
                  <c:v>0.01</c:v>
                </c:pt>
                <c:pt idx="9">
                  <c:v>7.0000000000000007E-2</c:v>
                </c:pt>
                <c:pt idx="10">
                  <c:v>0.1</c:v>
                </c:pt>
                <c:pt idx="11">
                  <c:v>0.01</c:v>
                </c:pt>
              </c:numCache>
            </c:numRef>
          </c:val>
          <c:smooth val="1"/>
          <c:extLst>
            <c:ext xmlns:c16="http://schemas.microsoft.com/office/drawing/2014/chart" uri="{C3380CC4-5D6E-409C-BE32-E72D297353CC}">
              <c16:uniqueId val="{00000000-DB03-49D8-8B27-14CF377F0742}"/>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8001203812466E-2"/>
          <c:y val="0.12586131839007056"/>
          <c:w val="0.82704402515723274"/>
          <c:h val="0.86594033742539267"/>
        </c:manualLayout>
      </c:layout>
      <c:lineChart>
        <c:grouping val="standard"/>
        <c:varyColors val="0"/>
        <c:ser>
          <c:idx val="1"/>
          <c:order val="0"/>
          <c:spPr>
            <a:ln w="25400">
              <a:solidFill>
                <a:srgbClr val="4F83BD"/>
              </a:solidFill>
            </a:ln>
            <a:effectLst>
              <a:outerShdw blurRad="63500" sx="102000" sy="102000" algn="ctr" rotWithShape="0">
                <a:prstClr val="black">
                  <a:alpha val="40000"/>
                </a:prstClr>
              </a:outerShdw>
            </a:effectLst>
          </c:spPr>
          <c:marker>
            <c:symbol val="none"/>
          </c:marker>
          <c:val>
            <c:numRef>
              <c:f>KPIs!$E$10:$P$10</c:f>
              <c:numCache>
                <c:formatCode>_ [$AED]\ * #,##0.00_ ;_ [$AED]\ * \-#,##0.00_ ;_ [$AED]\ * "-"??_ ;_ @_ </c:formatCode>
                <c:ptCount val="12"/>
                <c:pt idx="0">
                  <c:v>8000</c:v>
                </c:pt>
                <c:pt idx="1">
                  <c:v>8000</c:v>
                </c:pt>
                <c:pt idx="2">
                  <c:v>7500</c:v>
                </c:pt>
                <c:pt idx="3">
                  <c:v>7550</c:v>
                </c:pt>
                <c:pt idx="4">
                  <c:v>10000</c:v>
                </c:pt>
                <c:pt idx="5">
                  <c:v>9950</c:v>
                </c:pt>
                <c:pt idx="6">
                  <c:v>10500</c:v>
                </c:pt>
                <c:pt idx="7">
                  <c:v>9500</c:v>
                </c:pt>
                <c:pt idx="8">
                  <c:v>9500</c:v>
                </c:pt>
                <c:pt idx="9">
                  <c:v>10000</c:v>
                </c:pt>
                <c:pt idx="10">
                  <c:v>10000</c:v>
                </c:pt>
                <c:pt idx="11">
                  <c:v>11000</c:v>
                </c:pt>
              </c:numCache>
            </c:numRef>
          </c:val>
          <c:smooth val="1"/>
          <c:extLst>
            <c:ext xmlns:c16="http://schemas.microsoft.com/office/drawing/2014/chart" uri="{C3380CC4-5D6E-409C-BE32-E72D297353CC}">
              <c16:uniqueId val="{00000000-D7F7-431D-8552-E19B371B46F0}"/>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_ [$AED]\ * #,##0.00_ ;_ [$AED]\ * \-#,##0.00_ ;_ [$AED]\ * &quot;-&quot;??_ ;_ @_ " sourceLinked="1"/>
        <c:majorTickMark val="none"/>
        <c:minorTickMark val="none"/>
        <c:tickLblPos val="nextTo"/>
        <c:crossAx val="457655680"/>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8121477126788E-2"/>
          <c:y val="0.30197626569993491"/>
          <c:w val="0.82704402515723274"/>
          <c:h val="0.69372215101019341"/>
        </c:manualLayout>
      </c:layout>
      <c:lineChart>
        <c:grouping val="standard"/>
        <c:varyColors val="0"/>
        <c:ser>
          <c:idx val="1"/>
          <c:order val="0"/>
          <c:spPr>
            <a:ln w="25400">
              <a:solidFill>
                <a:srgbClr val="4F83BD"/>
              </a:solidFill>
            </a:ln>
            <a:effectLst>
              <a:outerShdw blurRad="63500" sx="102000" sy="102000" algn="ctr" rotWithShape="0">
                <a:prstClr val="black">
                  <a:alpha val="40000"/>
                </a:prstClr>
              </a:outerShdw>
            </a:effectLst>
          </c:spPr>
          <c:marker>
            <c:symbol val="none"/>
          </c:marker>
          <c:val>
            <c:numRef>
              <c:f>KPIs!$E$8:$P$8</c:f>
              <c:numCache>
                <c:formatCode>0%</c:formatCode>
                <c:ptCount val="12"/>
                <c:pt idx="0">
                  <c:v>0.5</c:v>
                </c:pt>
                <c:pt idx="1">
                  <c:v>0.45</c:v>
                </c:pt>
                <c:pt idx="2">
                  <c:v>0.44</c:v>
                </c:pt>
                <c:pt idx="3">
                  <c:v>0.47</c:v>
                </c:pt>
                <c:pt idx="4">
                  <c:v>0.46</c:v>
                </c:pt>
                <c:pt idx="5">
                  <c:v>0.44</c:v>
                </c:pt>
                <c:pt idx="6">
                  <c:v>0.45</c:v>
                </c:pt>
                <c:pt idx="7">
                  <c:v>0.46</c:v>
                </c:pt>
                <c:pt idx="8">
                  <c:v>0.47</c:v>
                </c:pt>
                <c:pt idx="9">
                  <c:v>0.49</c:v>
                </c:pt>
                <c:pt idx="10">
                  <c:v>0.52</c:v>
                </c:pt>
                <c:pt idx="11">
                  <c:v>0.53</c:v>
                </c:pt>
              </c:numCache>
            </c:numRef>
          </c:val>
          <c:smooth val="1"/>
          <c:extLst>
            <c:ext xmlns:c16="http://schemas.microsoft.com/office/drawing/2014/chart" uri="{C3380CC4-5D6E-409C-BE32-E72D297353CC}">
              <c16:uniqueId val="{00000000-05C4-47B2-82EE-50BBE901A4CB}"/>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spPr>
            <a:ln>
              <a:noFill/>
            </a:ln>
          </c:spPr>
          <c:dPt>
            <c:idx val="0"/>
            <c:bubble3D val="0"/>
            <c:spPr>
              <a:noFill/>
              <a:ln>
                <a:noFill/>
              </a:ln>
            </c:spPr>
            <c:extLst>
              <c:ext xmlns:c16="http://schemas.microsoft.com/office/drawing/2014/chart" uri="{C3380CC4-5D6E-409C-BE32-E72D297353CC}">
                <c16:uniqueId val="{0000000D-42FA-41F8-B5CD-F7F39B125895}"/>
              </c:ext>
            </c:extLst>
          </c:dPt>
          <c:dPt>
            <c:idx val="1"/>
            <c:bubble3D val="0"/>
            <c:spPr>
              <a:solidFill>
                <a:srgbClr val="5C6769"/>
              </a:solidFill>
              <a:ln>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E-42FA-41F8-B5CD-F7F39B125895}"/>
              </c:ext>
            </c:extLst>
          </c:dPt>
          <c:val>
            <c:numRef>
              <c:f>'Variance Calculation'!$D$29:$D$30</c:f>
              <c:numCache>
                <c:formatCode>0%</c:formatCode>
                <c:ptCount val="2"/>
                <c:pt idx="0">
                  <c:v>0.16</c:v>
                </c:pt>
                <c:pt idx="1">
                  <c:v>0.84</c:v>
                </c:pt>
              </c:numCache>
            </c:numRef>
          </c:val>
          <c:extLst>
            <c:ext xmlns:c16="http://schemas.microsoft.com/office/drawing/2014/chart" uri="{C3380CC4-5D6E-409C-BE32-E72D297353CC}">
              <c16:uniqueId val="{0000000C-42FA-41F8-B5CD-F7F39B125895}"/>
            </c:ext>
          </c:extLst>
        </c:ser>
        <c:ser>
          <c:idx val="0"/>
          <c:order val="1"/>
          <c:dPt>
            <c:idx val="0"/>
            <c:bubble3D val="0"/>
            <c:spPr>
              <a:solidFill>
                <a:srgbClr val="4F83BD"/>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8-42FA-41F8-B5CD-F7F39B125895}"/>
              </c:ext>
            </c:extLst>
          </c:dPt>
          <c:dPt>
            <c:idx val="1"/>
            <c:bubble3D val="0"/>
            <c:spPr>
              <a:noFill/>
              <a:ln w="19050">
                <a:noFill/>
              </a:ln>
              <a:effectLst/>
            </c:spPr>
            <c:extLst>
              <c:ext xmlns:c16="http://schemas.microsoft.com/office/drawing/2014/chart" uri="{C3380CC4-5D6E-409C-BE32-E72D297353CC}">
                <c16:uniqueId val="{0000000A-42FA-41F8-B5CD-F7F39B125895}"/>
              </c:ext>
            </c:extLst>
          </c:dPt>
          <c:val>
            <c:numRef>
              <c:f>'Variance Calculation'!$D$29:$D$30</c:f>
              <c:numCache>
                <c:formatCode>0%</c:formatCode>
                <c:ptCount val="2"/>
                <c:pt idx="0">
                  <c:v>0.16</c:v>
                </c:pt>
                <c:pt idx="1">
                  <c:v>0.84</c:v>
                </c:pt>
              </c:numCache>
            </c:numRef>
          </c:val>
          <c:extLst>
            <c:ext xmlns:c16="http://schemas.microsoft.com/office/drawing/2014/chart" uri="{C3380CC4-5D6E-409C-BE32-E72D297353CC}">
              <c16:uniqueId val="{0000000B-42FA-41F8-B5CD-F7F39B125895}"/>
            </c:ext>
          </c:extLst>
        </c:ser>
        <c:dLbls>
          <c:showLegendKey val="0"/>
          <c:showVal val="0"/>
          <c:showCatName val="0"/>
          <c:showSerName val="0"/>
          <c:showPercent val="0"/>
          <c:showBubbleSize val="0"/>
          <c:showLeaderLines val="1"/>
        </c:dLbls>
        <c:firstSliceAng val="0"/>
        <c:holeSize val="67"/>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noFill/>
              <a:ln>
                <a:noFill/>
              </a:ln>
            </c:spPr>
            <c:extLst>
              <c:ext xmlns:c16="http://schemas.microsoft.com/office/drawing/2014/chart" uri="{C3380CC4-5D6E-409C-BE32-E72D297353CC}">
                <c16:uniqueId val="{0000000D-296B-469B-B408-70CB3AC26CB5}"/>
              </c:ext>
            </c:extLst>
          </c:dPt>
          <c:dPt>
            <c:idx val="1"/>
            <c:bubble3D val="0"/>
            <c:spPr>
              <a:solidFill>
                <a:srgbClr val="5C6769"/>
              </a:solidFill>
              <a:effectLst>
                <a:outerShdw blurRad="63500" sx="102000" sy="102000" algn="ctr" rotWithShape="0">
                  <a:prstClr val="black">
                    <a:alpha val="40000"/>
                  </a:prstClr>
                </a:outerShdw>
              </a:effectLst>
            </c:spPr>
            <c:extLst>
              <c:ext xmlns:c16="http://schemas.microsoft.com/office/drawing/2014/chart" uri="{C3380CC4-5D6E-409C-BE32-E72D297353CC}">
                <c16:uniqueId val="{0000000E-296B-469B-B408-70CB3AC26CB5}"/>
              </c:ext>
            </c:extLst>
          </c:dPt>
          <c:val>
            <c:numRef>
              <c:f>'Variance Calculation'!$J$29:$J$30</c:f>
              <c:numCache>
                <c:formatCode>0%</c:formatCode>
                <c:ptCount val="2"/>
                <c:pt idx="0">
                  <c:v>0.61129999999999995</c:v>
                </c:pt>
                <c:pt idx="1">
                  <c:v>0.38870000000000005</c:v>
                </c:pt>
              </c:numCache>
            </c:numRef>
          </c:val>
          <c:extLst>
            <c:ext xmlns:c16="http://schemas.microsoft.com/office/drawing/2014/chart" uri="{C3380CC4-5D6E-409C-BE32-E72D297353CC}">
              <c16:uniqueId val="{0000000C-296B-469B-B408-70CB3AC26CB5}"/>
            </c:ext>
          </c:extLst>
        </c:ser>
        <c:ser>
          <c:idx val="0"/>
          <c:order val="1"/>
          <c:spPr>
            <a:solidFill>
              <a:schemeClr val="accent1"/>
            </a:solidFill>
            <a:ln>
              <a:noFill/>
            </a:ln>
          </c:spPr>
          <c:dPt>
            <c:idx val="0"/>
            <c:bubble3D val="0"/>
            <c:spPr>
              <a:solidFill>
                <a:schemeClr val="accent1"/>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8-296B-469B-B408-70CB3AC26CB5}"/>
              </c:ext>
            </c:extLst>
          </c:dPt>
          <c:dPt>
            <c:idx val="1"/>
            <c:bubble3D val="0"/>
            <c:spPr>
              <a:solidFill>
                <a:schemeClr val="accent1"/>
              </a:solidFill>
              <a:ln w="19050">
                <a:noFill/>
              </a:ln>
              <a:effectLst/>
            </c:spPr>
            <c:extLst>
              <c:ext xmlns:c16="http://schemas.microsoft.com/office/drawing/2014/chart" uri="{C3380CC4-5D6E-409C-BE32-E72D297353CC}">
                <c16:uniqueId val="{0000000A-296B-469B-B408-70CB3AC26CB5}"/>
              </c:ext>
            </c:extLst>
          </c:dPt>
          <c:val>
            <c:numRef>
              <c:f>'Variance Calculation'!$J$29:$J$30</c:f>
              <c:numCache>
                <c:formatCode>0%</c:formatCode>
                <c:ptCount val="2"/>
                <c:pt idx="0">
                  <c:v>0.61129999999999995</c:v>
                </c:pt>
                <c:pt idx="1">
                  <c:v>0.38870000000000005</c:v>
                </c:pt>
              </c:numCache>
            </c:numRef>
          </c:val>
          <c:extLst>
            <c:ext xmlns:c16="http://schemas.microsoft.com/office/drawing/2014/chart" uri="{C3380CC4-5D6E-409C-BE32-E72D297353CC}">
              <c16:uniqueId val="{0000000B-296B-469B-B408-70CB3AC26CB5}"/>
            </c:ext>
          </c:extLst>
        </c:ser>
        <c:dLbls>
          <c:showLegendKey val="0"/>
          <c:showVal val="0"/>
          <c:showCatName val="0"/>
          <c:showSerName val="0"/>
          <c:showPercent val="0"/>
          <c:showBubbleSize val="0"/>
          <c:showLeaderLines val="1"/>
        </c:dLbls>
        <c:firstSliceAng val="0"/>
        <c:holeSize val="67"/>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spPr>
            <a:ln>
              <a:noFill/>
            </a:ln>
          </c:spPr>
          <c:dPt>
            <c:idx val="0"/>
            <c:bubble3D val="0"/>
            <c:spPr>
              <a:noFill/>
              <a:ln>
                <a:noFill/>
              </a:ln>
            </c:spPr>
            <c:extLst>
              <c:ext xmlns:c16="http://schemas.microsoft.com/office/drawing/2014/chart" uri="{C3380CC4-5D6E-409C-BE32-E72D297353CC}">
                <c16:uniqueId val="{0000000D-5A8F-4F61-9D0D-8277B14ADF98}"/>
              </c:ext>
            </c:extLst>
          </c:dPt>
          <c:dPt>
            <c:idx val="1"/>
            <c:bubble3D val="0"/>
            <c:spPr>
              <a:solidFill>
                <a:srgbClr val="5C6769"/>
              </a:solidFill>
              <a:ln>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E-5A8F-4F61-9D0D-8277B14ADF98}"/>
              </c:ext>
            </c:extLst>
          </c:dPt>
          <c:val>
            <c:numRef>
              <c:f>'Variance Calculation'!$P$29:$P$30</c:f>
              <c:numCache>
                <c:formatCode>0%</c:formatCode>
                <c:ptCount val="2"/>
                <c:pt idx="0">
                  <c:v>0.9</c:v>
                </c:pt>
                <c:pt idx="1">
                  <c:v>9.9999999999999978E-2</c:v>
                </c:pt>
              </c:numCache>
            </c:numRef>
          </c:val>
          <c:extLst>
            <c:ext xmlns:c16="http://schemas.microsoft.com/office/drawing/2014/chart" uri="{C3380CC4-5D6E-409C-BE32-E72D297353CC}">
              <c16:uniqueId val="{0000000C-5A8F-4F61-9D0D-8277B14ADF98}"/>
            </c:ext>
          </c:extLst>
        </c:ser>
        <c:ser>
          <c:idx val="0"/>
          <c:order val="1"/>
          <c:spPr>
            <a:ln>
              <a:noFill/>
            </a:ln>
          </c:spPr>
          <c:dPt>
            <c:idx val="0"/>
            <c:bubble3D val="0"/>
            <c:spPr>
              <a:solidFill>
                <a:schemeClr val="accent1"/>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8-5A8F-4F61-9D0D-8277B14ADF98}"/>
              </c:ext>
            </c:extLst>
          </c:dPt>
          <c:dPt>
            <c:idx val="1"/>
            <c:bubble3D val="0"/>
            <c:spPr>
              <a:noFill/>
              <a:ln w="19050">
                <a:noFill/>
              </a:ln>
              <a:effectLst/>
            </c:spPr>
            <c:extLst>
              <c:ext xmlns:c16="http://schemas.microsoft.com/office/drawing/2014/chart" uri="{C3380CC4-5D6E-409C-BE32-E72D297353CC}">
                <c16:uniqueId val="{0000000A-5A8F-4F61-9D0D-8277B14ADF98}"/>
              </c:ext>
            </c:extLst>
          </c:dPt>
          <c:val>
            <c:numRef>
              <c:f>'Variance Calculation'!$P$29:$P$30</c:f>
              <c:numCache>
                <c:formatCode>0%</c:formatCode>
                <c:ptCount val="2"/>
                <c:pt idx="0">
                  <c:v>0.9</c:v>
                </c:pt>
                <c:pt idx="1">
                  <c:v>9.9999999999999978E-2</c:v>
                </c:pt>
              </c:numCache>
            </c:numRef>
          </c:val>
          <c:extLst>
            <c:ext xmlns:c16="http://schemas.microsoft.com/office/drawing/2014/chart" uri="{C3380CC4-5D6E-409C-BE32-E72D297353CC}">
              <c16:uniqueId val="{0000000B-5A8F-4F61-9D0D-8277B14ADF98}"/>
            </c:ext>
          </c:extLst>
        </c:ser>
        <c:dLbls>
          <c:showLegendKey val="0"/>
          <c:showVal val="0"/>
          <c:showCatName val="0"/>
          <c:showSerName val="0"/>
          <c:showPercent val="0"/>
          <c:showBubbleSize val="0"/>
          <c:showLeaderLines val="1"/>
        </c:dLbls>
        <c:firstSliceAng val="0"/>
        <c:holeSize val="67"/>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1-1E3C-487A-8EB1-DC180271DB62}"/>
              </c:ext>
            </c:extLst>
          </c:dPt>
          <c:dPt>
            <c:idx val="1"/>
            <c:bubble3D val="0"/>
            <c:spPr>
              <a:solidFill>
                <a:srgbClr val="5C676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1E3C-487A-8EB1-DC180271DB62}"/>
              </c:ext>
            </c:extLst>
          </c:dPt>
          <c:val>
            <c:numRef>
              <c:f>'Variance Calculation'!$R$29:$R$30</c:f>
              <c:numCache>
                <c:formatCode>#,##0</c:formatCode>
                <c:ptCount val="2"/>
                <c:pt idx="0">
                  <c:v>20</c:v>
                </c:pt>
                <c:pt idx="1">
                  <c:v>15</c:v>
                </c:pt>
              </c:numCache>
            </c:numRef>
          </c:val>
          <c:extLst>
            <c:ext xmlns:c16="http://schemas.microsoft.com/office/drawing/2014/chart" uri="{C3380CC4-5D6E-409C-BE32-E72D297353CC}">
              <c16:uniqueId val="{00000004-1E3C-487A-8EB1-DC180271DB62}"/>
            </c:ext>
          </c:extLst>
        </c:ser>
        <c:dLbls>
          <c:showLegendKey val="0"/>
          <c:showVal val="0"/>
          <c:showCatName val="0"/>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KPIs!$E$12:$P$12</c:f>
              <c:numCache>
                <c:formatCode>0%</c:formatCode>
                <c:ptCount val="12"/>
                <c:pt idx="0">
                  <c:v>0.4</c:v>
                </c:pt>
                <c:pt idx="1">
                  <c:v>0.42</c:v>
                </c:pt>
                <c:pt idx="2">
                  <c:v>0.45</c:v>
                </c:pt>
                <c:pt idx="3">
                  <c:v>0.43</c:v>
                </c:pt>
                <c:pt idx="4">
                  <c:v>0.435</c:v>
                </c:pt>
                <c:pt idx="5">
                  <c:v>0.42</c:v>
                </c:pt>
                <c:pt idx="6">
                  <c:v>0.41</c:v>
                </c:pt>
                <c:pt idx="7">
                  <c:v>0.45</c:v>
                </c:pt>
                <c:pt idx="8">
                  <c:v>0.46</c:v>
                </c:pt>
                <c:pt idx="9">
                  <c:v>0.47</c:v>
                </c:pt>
                <c:pt idx="10">
                  <c:v>0.48</c:v>
                </c:pt>
                <c:pt idx="11">
                  <c:v>0.47399999999999998</c:v>
                </c:pt>
              </c:numCache>
            </c:numRef>
          </c:val>
          <c:smooth val="1"/>
          <c:extLst>
            <c:ext xmlns:c16="http://schemas.microsoft.com/office/drawing/2014/chart" uri="{C3380CC4-5D6E-409C-BE32-E72D297353CC}">
              <c16:uniqueId val="{00000000-FAAF-4553-95E4-BD594320724B}"/>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77987421383642E-2"/>
          <c:y val="0.17556003174021853"/>
          <c:w val="0.82704402515723274"/>
          <c:h val="0.69372215101019341"/>
        </c:manualLayout>
      </c:layout>
      <c:lineChart>
        <c:grouping val="standard"/>
        <c:varyColors val="0"/>
        <c:ser>
          <c:idx val="0"/>
          <c:order val="0"/>
          <c:spPr>
            <a:ln w="25400" cap="rnd">
              <a:solidFill>
                <a:srgbClr val="4F83BD"/>
              </a:solidFill>
              <a:round/>
            </a:ln>
            <a:effectLst>
              <a:outerShdw blurRad="63500" sx="102000" sy="102000" algn="ctr" rotWithShape="0">
                <a:prstClr val="black">
                  <a:alpha val="40000"/>
                </a:prstClr>
              </a:outerShdw>
            </a:effectLst>
          </c:spPr>
          <c:marker>
            <c:symbol val="none"/>
          </c:marker>
          <c:val>
            <c:numRef>
              <c:f>KPIs!$E$12:$P$12</c:f>
              <c:numCache>
                <c:formatCode>0%</c:formatCode>
                <c:ptCount val="12"/>
                <c:pt idx="0">
                  <c:v>0.4</c:v>
                </c:pt>
                <c:pt idx="1">
                  <c:v>0.42</c:v>
                </c:pt>
                <c:pt idx="2">
                  <c:v>0.45</c:v>
                </c:pt>
                <c:pt idx="3">
                  <c:v>0.43</c:v>
                </c:pt>
                <c:pt idx="4">
                  <c:v>0.435</c:v>
                </c:pt>
                <c:pt idx="5">
                  <c:v>0.42</c:v>
                </c:pt>
                <c:pt idx="6">
                  <c:v>0.41</c:v>
                </c:pt>
                <c:pt idx="7">
                  <c:v>0.45</c:v>
                </c:pt>
                <c:pt idx="8">
                  <c:v>0.46</c:v>
                </c:pt>
                <c:pt idx="9">
                  <c:v>0.47</c:v>
                </c:pt>
                <c:pt idx="10">
                  <c:v>0.48</c:v>
                </c:pt>
                <c:pt idx="11">
                  <c:v>0.47399999999999998</c:v>
                </c:pt>
              </c:numCache>
            </c:numRef>
          </c:val>
          <c:smooth val="1"/>
          <c:extLst>
            <c:ext xmlns:c16="http://schemas.microsoft.com/office/drawing/2014/chart" uri="{C3380CC4-5D6E-409C-BE32-E72D297353CC}">
              <c16:uniqueId val="{00000000-BB1F-4006-9AE1-27CD576FA638}"/>
            </c:ext>
          </c:extLst>
        </c:ser>
        <c:dLbls>
          <c:showLegendKey val="0"/>
          <c:showVal val="0"/>
          <c:showCatName val="0"/>
          <c:showSerName val="0"/>
          <c:showPercent val="0"/>
          <c:showBubbleSize val="0"/>
        </c:dLbls>
        <c:smooth val="0"/>
        <c:axId val="457655680"/>
        <c:axId val="564188064"/>
      </c:lineChart>
      <c:catAx>
        <c:axId val="457655680"/>
        <c:scaling>
          <c:orientation val="minMax"/>
        </c:scaling>
        <c:delete val="1"/>
        <c:axPos val="b"/>
        <c:majorTickMark val="none"/>
        <c:minorTickMark val="none"/>
        <c:tickLblPos val="nextTo"/>
        <c:crossAx val="564188064"/>
        <c:crosses val="autoZero"/>
        <c:auto val="1"/>
        <c:lblAlgn val="ctr"/>
        <c:lblOffset val="100"/>
        <c:noMultiLvlLbl val="0"/>
      </c:catAx>
      <c:valAx>
        <c:axId val="564188064"/>
        <c:scaling>
          <c:orientation val="minMax"/>
        </c:scaling>
        <c:delete val="1"/>
        <c:axPos val="l"/>
        <c:numFmt formatCode="0%" sourceLinked="1"/>
        <c:majorTickMark val="none"/>
        <c:minorTickMark val="none"/>
        <c:tickLblPos val="nextTo"/>
        <c:crossAx val="45765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 - Budget vs Actual'!$C$6</c:f>
              <c:strCache>
                <c:ptCount val="1"/>
                <c:pt idx="0">
                  <c:v>Ideal</c:v>
                </c:pt>
              </c:strCache>
            </c:strRef>
          </c:tx>
          <c:spPr>
            <a:solidFill>
              <a:schemeClr val="accent1"/>
            </a:solidFill>
            <a:ln>
              <a:noFill/>
            </a:ln>
            <a:effectLst/>
          </c:spPr>
          <c:invertIfNegative val="0"/>
          <c:cat>
            <c:strRef>
              <c:f>'Dashboard - Budget vs Actual'!$B$7:$B$19</c:f>
              <c:strCache>
                <c:ptCount val="13"/>
                <c:pt idx="1">
                  <c:v>Headcount</c:v>
                </c:pt>
                <c:pt idx="2">
                  <c:v>Attrition (raw)</c:v>
                </c:pt>
                <c:pt idx="3">
                  <c:v>Annualised Attrition rate</c:v>
                </c:pt>
                <c:pt idx="4">
                  <c:v>Critical Hiring</c:v>
                </c:pt>
                <c:pt idx="5">
                  <c:v>Number of People Trained</c:v>
                </c:pt>
                <c:pt idx="6">
                  <c:v>Number of Trainings conducted</c:v>
                </c:pt>
                <c:pt idx="7">
                  <c:v>Succession Plan for Critical Roles</c:v>
                </c:pt>
                <c:pt idx="8">
                  <c:v>Payroll Cost</c:v>
                </c:pt>
                <c:pt idx="9">
                  <c:v>Engagement Score</c:v>
                </c:pt>
                <c:pt idx="10">
                  <c:v>Number of Engagement Activities</c:v>
                </c:pt>
                <c:pt idx="11">
                  <c:v>Number of Nationalities</c:v>
                </c:pt>
                <c:pt idx="12">
                  <c:v>Emiratization</c:v>
                </c:pt>
              </c:strCache>
            </c:strRef>
          </c:cat>
          <c:val>
            <c:numRef>
              <c:f>'Dashboard - Budget vs Actual'!$C$7:$C$19</c:f>
              <c:numCache>
                <c:formatCode>General</c:formatCode>
                <c:ptCount val="13"/>
                <c:pt idx="1">
                  <c:v>1000</c:v>
                </c:pt>
                <c:pt idx="2">
                  <c:v>0.06</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D77-4262-B9A3-C1EED1197AC6}"/>
            </c:ext>
          </c:extLst>
        </c:ser>
        <c:ser>
          <c:idx val="1"/>
          <c:order val="1"/>
          <c:tx>
            <c:strRef>
              <c:f>'Dashboard - Budget vs Actual'!$D$6</c:f>
              <c:strCache>
                <c:ptCount val="1"/>
                <c:pt idx="0">
                  <c:v>Actual</c:v>
                </c:pt>
              </c:strCache>
            </c:strRef>
          </c:tx>
          <c:spPr>
            <a:solidFill>
              <a:schemeClr val="accent2"/>
            </a:solidFill>
            <a:ln>
              <a:noFill/>
            </a:ln>
            <a:effectLst/>
          </c:spPr>
          <c:invertIfNegative val="0"/>
          <c:cat>
            <c:strRef>
              <c:f>'Dashboard - Budget vs Actual'!$B$7:$B$19</c:f>
              <c:strCache>
                <c:ptCount val="13"/>
                <c:pt idx="1">
                  <c:v>Headcount</c:v>
                </c:pt>
                <c:pt idx="2">
                  <c:v>Attrition (raw)</c:v>
                </c:pt>
                <c:pt idx="3">
                  <c:v>Annualised Attrition rate</c:v>
                </c:pt>
                <c:pt idx="4">
                  <c:v>Critical Hiring</c:v>
                </c:pt>
                <c:pt idx="5">
                  <c:v>Number of People Trained</c:v>
                </c:pt>
                <c:pt idx="6">
                  <c:v>Number of Trainings conducted</c:v>
                </c:pt>
                <c:pt idx="7">
                  <c:v>Succession Plan for Critical Roles</c:v>
                </c:pt>
                <c:pt idx="8">
                  <c:v>Payroll Cost</c:v>
                </c:pt>
                <c:pt idx="9">
                  <c:v>Engagement Score</c:v>
                </c:pt>
                <c:pt idx="10">
                  <c:v>Number of Engagement Activities</c:v>
                </c:pt>
                <c:pt idx="11">
                  <c:v>Number of Nationalities</c:v>
                </c:pt>
                <c:pt idx="12">
                  <c:v>Emiratization</c:v>
                </c:pt>
              </c:strCache>
            </c:strRef>
          </c:cat>
          <c:val>
            <c:numRef>
              <c:f>'Dashboard - Budget vs Actual'!$D$7:$D$19</c:f>
              <c:numCache>
                <c:formatCode>General</c:formatCode>
                <c:ptCount val="13"/>
                <c:pt idx="1">
                  <c:v>39</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D77-4262-B9A3-C1EED1197AC6}"/>
            </c:ext>
          </c:extLst>
        </c:ser>
        <c:dLbls>
          <c:showLegendKey val="0"/>
          <c:showVal val="0"/>
          <c:showCatName val="0"/>
          <c:showSerName val="0"/>
          <c:showPercent val="0"/>
          <c:showBubbleSize val="0"/>
        </c:dLbls>
        <c:gapWidth val="182"/>
        <c:axId val="1479137039"/>
        <c:axId val="1231287423"/>
      </c:barChart>
      <c:catAx>
        <c:axId val="1479137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287423"/>
        <c:crosses val="autoZero"/>
        <c:auto val="1"/>
        <c:lblAlgn val="ctr"/>
        <c:lblOffset val="100"/>
        <c:noMultiLvlLbl val="0"/>
      </c:catAx>
      <c:valAx>
        <c:axId val="12312874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1370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noFill/>
            </c:spPr>
            <c:extLst>
              <c:ext xmlns:c16="http://schemas.microsoft.com/office/drawing/2014/chart" uri="{C3380CC4-5D6E-409C-BE32-E72D297353CC}">
                <c16:uniqueId val="{00000009-E991-4559-B5CE-37A77E29DE4F}"/>
              </c:ext>
            </c:extLst>
          </c:dPt>
          <c:val>
            <c:numRef>
              <c:f>calc!$D$24:$E$24</c:f>
              <c:numCache>
                <c:formatCode>0%</c:formatCode>
                <c:ptCount val="2"/>
                <c:pt idx="0">
                  <c:v>0.16</c:v>
                </c:pt>
                <c:pt idx="1">
                  <c:v>0.84</c:v>
                </c:pt>
              </c:numCache>
            </c:numRef>
          </c:val>
          <c:extLst>
            <c:ext xmlns:c16="http://schemas.microsoft.com/office/drawing/2014/chart" uri="{C3380CC4-5D6E-409C-BE32-E72D297353CC}">
              <c16:uniqueId val="{00000008-E991-4559-B5CE-37A77E29DE4F}"/>
            </c:ext>
          </c:extLst>
        </c:ser>
        <c:ser>
          <c:idx val="0"/>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4-E991-4559-B5CE-37A77E29DE4F}"/>
              </c:ext>
            </c:extLst>
          </c:dPt>
          <c:dPt>
            <c:idx val="1"/>
            <c:bubble3D val="0"/>
            <c:spPr>
              <a:noFill/>
              <a:ln w="19050">
                <a:solidFill>
                  <a:schemeClr val="lt1"/>
                </a:solidFill>
              </a:ln>
              <a:effectLst/>
            </c:spPr>
            <c:extLst>
              <c:ext xmlns:c16="http://schemas.microsoft.com/office/drawing/2014/chart" uri="{C3380CC4-5D6E-409C-BE32-E72D297353CC}">
                <c16:uniqueId val="{00000006-E991-4559-B5CE-37A77E29DE4F}"/>
              </c:ext>
            </c:extLst>
          </c:dPt>
          <c:val>
            <c:numRef>
              <c:f>calc!$D$24:$E$24</c:f>
              <c:numCache>
                <c:formatCode>0%</c:formatCode>
                <c:ptCount val="2"/>
                <c:pt idx="0">
                  <c:v>0.16</c:v>
                </c:pt>
                <c:pt idx="1">
                  <c:v>0.84</c:v>
                </c:pt>
              </c:numCache>
            </c:numRef>
          </c:val>
          <c:extLst>
            <c:ext xmlns:c16="http://schemas.microsoft.com/office/drawing/2014/chart" uri="{C3380CC4-5D6E-409C-BE32-E72D297353CC}">
              <c16:uniqueId val="{00000007-E991-4559-B5CE-37A77E29DE4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emf"/><Relationship Id="rId18" Type="http://schemas.openxmlformats.org/officeDocument/2006/relationships/image" Target="../media/image8.emf"/><Relationship Id="rId26" Type="http://schemas.openxmlformats.org/officeDocument/2006/relationships/image" Target="../media/image16.svg"/><Relationship Id="rId3" Type="http://schemas.openxmlformats.org/officeDocument/2006/relationships/chart" Target="../charts/chart3.xml"/><Relationship Id="rId21" Type="http://schemas.openxmlformats.org/officeDocument/2006/relationships/chart" Target="../charts/chart11.xml"/><Relationship Id="rId7" Type="http://schemas.openxmlformats.org/officeDocument/2006/relationships/chart" Target="../charts/chart7.xml"/><Relationship Id="rId12" Type="http://schemas.openxmlformats.org/officeDocument/2006/relationships/image" Target="../media/image2.emf"/><Relationship Id="rId17" Type="http://schemas.openxmlformats.org/officeDocument/2006/relationships/image" Target="../media/image7.emf"/><Relationship Id="rId25" Type="http://schemas.openxmlformats.org/officeDocument/2006/relationships/image" Target="../media/image15.png"/><Relationship Id="rId2" Type="http://schemas.openxmlformats.org/officeDocument/2006/relationships/chart" Target="../charts/chart2.xml"/><Relationship Id="rId16" Type="http://schemas.openxmlformats.org/officeDocument/2006/relationships/image" Target="../media/image6.emf"/><Relationship Id="rId20" Type="http://schemas.openxmlformats.org/officeDocument/2006/relationships/image" Target="../media/image10.emf"/><Relationship Id="rId29"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emf"/><Relationship Id="rId24" Type="http://schemas.openxmlformats.org/officeDocument/2006/relationships/chart" Target="../charts/chart14.xml"/><Relationship Id="rId32" Type="http://schemas.openxmlformats.org/officeDocument/2006/relationships/image" Target="../media/image20.emf"/><Relationship Id="rId5" Type="http://schemas.openxmlformats.org/officeDocument/2006/relationships/chart" Target="../charts/chart5.xml"/><Relationship Id="rId15" Type="http://schemas.openxmlformats.org/officeDocument/2006/relationships/image" Target="../media/image5.emf"/><Relationship Id="rId23" Type="http://schemas.openxmlformats.org/officeDocument/2006/relationships/chart" Target="../charts/chart13.xml"/><Relationship Id="rId28" Type="http://schemas.openxmlformats.org/officeDocument/2006/relationships/image" Target="../media/image18.svg"/><Relationship Id="rId10" Type="http://schemas.openxmlformats.org/officeDocument/2006/relationships/chart" Target="../charts/chart10.xml"/><Relationship Id="rId19" Type="http://schemas.openxmlformats.org/officeDocument/2006/relationships/image" Target="../media/image9.emf"/><Relationship Id="rId31" Type="http://schemas.openxmlformats.org/officeDocument/2006/relationships/chart" Target="../charts/chart16.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4.emf"/><Relationship Id="rId22" Type="http://schemas.openxmlformats.org/officeDocument/2006/relationships/chart" Target="../charts/chart12.xml"/><Relationship Id="rId27" Type="http://schemas.openxmlformats.org/officeDocument/2006/relationships/image" Target="../media/image17.png"/><Relationship Id="rId30" Type="http://schemas.openxmlformats.org/officeDocument/2006/relationships/image" Target="../media/image19.emf"/></Relationships>
</file>

<file path=xl/drawings/_rels/drawing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svg"/><Relationship Id="rId1" Type="http://schemas.openxmlformats.org/officeDocument/2006/relationships/image" Target="../media/image11.png"/><Relationship Id="rId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22860</xdr:colOff>
      <xdr:row>12</xdr:row>
      <xdr:rowOff>198120</xdr:rowOff>
    </xdr:from>
    <xdr:to>
      <xdr:col>12</xdr:col>
      <xdr:colOff>144781</xdr:colOff>
      <xdr:row>13</xdr:row>
      <xdr:rowOff>197994</xdr:rowOff>
    </xdr:to>
    <xdr:sp macro="" textlink="">
      <xdr:nvSpPr>
        <xdr:cNvPr id="3412" name="Option Button 340" hidden="1">
          <a:extLst>
            <a:ext uri="{63B3BB69-23CF-44E3-9099-C40C66FF867C}">
              <a14:compatExt xmlns:a14="http://schemas.microsoft.com/office/drawing/2010/main" spid="_x0000_s3412"/>
            </a:ext>
            <a:ext uri="{FF2B5EF4-FFF2-40B4-BE49-F238E27FC236}">
              <a16:creationId xmlns:a16="http://schemas.microsoft.com/office/drawing/2014/main" id="{00000000-0008-0000-0300-0000540D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CA" sz="800" b="0" i="0" u="none" strike="noStrike" baseline="0">
              <a:solidFill>
                <a:srgbClr val="000000"/>
              </a:solidFill>
              <a:latin typeface="Tahoma"/>
              <a:ea typeface="Tahoma"/>
              <a:cs typeface="Tahoma"/>
            </a:rPr>
            <a:t>Total Salary</a:t>
          </a:r>
        </a:p>
      </xdr:txBody>
    </xdr:sp>
    <xdr:clientData fLocksWithSheet="0"/>
  </xdr:twoCellAnchor>
  <xdr:twoCellAnchor editAs="oneCell">
    <xdr:from>
      <xdr:col>16</xdr:col>
      <xdr:colOff>220980</xdr:colOff>
      <xdr:row>18</xdr:row>
      <xdr:rowOff>190500</xdr:rowOff>
    </xdr:from>
    <xdr:to>
      <xdr:col>17</xdr:col>
      <xdr:colOff>515487</xdr:colOff>
      <xdr:row>19</xdr:row>
      <xdr:rowOff>207302</xdr:rowOff>
    </xdr:to>
    <xdr:sp macro="" textlink="">
      <xdr:nvSpPr>
        <xdr:cNvPr id="3413" name="Option Button 341" hidden="1">
          <a:extLst>
            <a:ext uri="{63B3BB69-23CF-44E3-9099-C40C66FF867C}">
              <a14:compatExt xmlns:a14="http://schemas.microsoft.com/office/drawing/2010/main"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CA" sz="800" b="0" i="0" u="none" strike="noStrike" baseline="0">
              <a:solidFill>
                <a:srgbClr val="000000"/>
              </a:solidFill>
              <a:latin typeface="Tahoma"/>
              <a:ea typeface="Tahoma"/>
              <a:cs typeface="Tahoma"/>
            </a:rPr>
            <a:t>Average Salary</a:t>
          </a:r>
        </a:p>
      </xdr:txBody>
    </xdr:sp>
    <xdr:clientData fLocksWithSheet="0"/>
  </xdr:twoCellAnchor>
  <xdr:twoCellAnchor editAs="oneCell">
    <xdr:from>
      <xdr:col>11</xdr:col>
      <xdr:colOff>38100</xdr:colOff>
      <xdr:row>12</xdr:row>
      <xdr:rowOff>330200</xdr:rowOff>
    </xdr:from>
    <xdr:to>
      <xdr:col>12</xdr:col>
      <xdr:colOff>241301</xdr:colOff>
      <xdr:row>13</xdr:row>
      <xdr:rowOff>159259</xdr:rowOff>
    </xdr:to>
    <xdr:sp macro="" textlink="">
      <xdr:nvSpPr>
        <xdr:cNvPr id="10" name="Option Button 340" hidden="1">
          <a:extLst>
            <a:ext uri="{63B3BB69-23CF-44E3-9099-C40C66FF867C}">
              <a14:compatExt xmlns:a14="http://schemas.microsoft.com/office/drawing/2010/main" spid="_x0000_s3412"/>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Total Salary</a:t>
          </a:r>
        </a:p>
      </xdr:txBody>
    </xdr:sp>
    <xdr:clientData fLocksWithSheet="0"/>
  </xdr:twoCellAnchor>
  <xdr:twoCellAnchor editAs="oneCell">
    <xdr:from>
      <xdr:col>16</xdr:col>
      <xdr:colOff>368300</xdr:colOff>
      <xdr:row>18</xdr:row>
      <xdr:rowOff>317500</xdr:rowOff>
    </xdr:from>
    <xdr:to>
      <xdr:col>19</xdr:col>
      <xdr:colOff>54373</xdr:colOff>
      <xdr:row>19</xdr:row>
      <xdr:rowOff>159042</xdr:rowOff>
    </xdr:to>
    <xdr:sp macro="" textlink="">
      <xdr:nvSpPr>
        <xdr:cNvPr id="12" name="Option Button 341" hidden="1">
          <a:extLst>
            <a:ext uri="{63B3BB69-23CF-44E3-9099-C40C66FF867C}">
              <a14:compatExt xmlns:a14="http://schemas.microsoft.com/office/drawing/2010/main" spid="_x0000_s3413"/>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Average Salary</a:t>
          </a:r>
        </a:p>
      </xdr:txBody>
    </xdr:sp>
    <xdr:clientData fLocksWithSheet="0"/>
  </xdr:twoCellAnchor>
  <xdr:twoCellAnchor editAs="oneCell">
    <xdr:from>
      <xdr:col>11</xdr:col>
      <xdr:colOff>28575</xdr:colOff>
      <xdr:row>12</xdr:row>
      <xdr:rowOff>247650</xdr:rowOff>
    </xdr:from>
    <xdr:to>
      <xdr:col>12</xdr:col>
      <xdr:colOff>180976</xdr:colOff>
      <xdr:row>13</xdr:row>
      <xdr:rowOff>175134</xdr:rowOff>
    </xdr:to>
    <xdr:sp macro="" textlink="">
      <xdr:nvSpPr>
        <xdr:cNvPr id="14" name="Option Button 340" hidden="1">
          <a:extLst>
            <a:ext uri="{63B3BB69-23CF-44E3-9099-C40C66FF867C}">
              <a14:compatExt xmlns:a14="http://schemas.microsoft.com/office/drawing/2010/main" spid="_x0000_s3412"/>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Total Salary</a:t>
          </a:r>
        </a:p>
      </xdr:txBody>
    </xdr:sp>
    <xdr:clientData fLocksWithSheet="0"/>
  </xdr:twoCellAnchor>
  <xdr:twoCellAnchor editAs="oneCell">
    <xdr:from>
      <xdr:col>16</xdr:col>
      <xdr:colOff>276225</xdr:colOff>
      <xdr:row>18</xdr:row>
      <xdr:rowOff>238125</xdr:rowOff>
    </xdr:from>
    <xdr:to>
      <xdr:col>18</xdr:col>
      <xdr:colOff>18235</xdr:colOff>
      <xdr:row>19</xdr:row>
      <xdr:rowOff>184442</xdr:rowOff>
    </xdr:to>
    <xdr:sp macro="" textlink="">
      <xdr:nvSpPr>
        <xdr:cNvPr id="16" name="Option Button 341" hidden="1">
          <a:extLst>
            <a:ext uri="{63B3BB69-23CF-44E3-9099-C40C66FF867C}">
              <a14:compatExt xmlns:a14="http://schemas.microsoft.com/office/drawing/2010/main" spid="_x0000_s3413"/>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Average Salary</a:t>
          </a:r>
        </a:p>
      </xdr:txBody>
    </xdr:sp>
    <xdr:clientData fLocksWithSheet="0"/>
  </xdr:twoCellAnchor>
  <xdr:twoCellAnchor editAs="oneCell">
    <xdr:from>
      <xdr:col>11</xdr:col>
      <xdr:colOff>38100</xdr:colOff>
      <xdr:row>12</xdr:row>
      <xdr:rowOff>330200</xdr:rowOff>
    </xdr:from>
    <xdr:to>
      <xdr:col>12</xdr:col>
      <xdr:colOff>241301</xdr:colOff>
      <xdr:row>13</xdr:row>
      <xdr:rowOff>159259</xdr:rowOff>
    </xdr:to>
    <xdr:sp macro="" textlink="">
      <xdr:nvSpPr>
        <xdr:cNvPr id="22" name="Option Button 340" hidden="1">
          <a:extLst>
            <a:ext uri="{63B3BB69-23CF-44E3-9099-C40C66FF867C}">
              <a14:compatExt xmlns:a14="http://schemas.microsoft.com/office/drawing/2010/main" spid="_x0000_s3412"/>
            </a:ext>
            <a:ext uri="{FF2B5EF4-FFF2-40B4-BE49-F238E27FC236}">
              <a16:creationId xmlns:a16="http://schemas.microsoft.com/office/drawing/2014/main" id="{00000000-0008-0000-0300-000016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Total Salary</a:t>
          </a:r>
        </a:p>
      </xdr:txBody>
    </xdr:sp>
    <xdr:clientData fLocksWithSheet="0"/>
  </xdr:twoCellAnchor>
  <xdr:twoCellAnchor editAs="oneCell">
    <xdr:from>
      <xdr:col>16</xdr:col>
      <xdr:colOff>368300</xdr:colOff>
      <xdr:row>18</xdr:row>
      <xdr:rowOff>317500</xdr:rowOff>
    </xdr:from>
    <xdr:to>
      <xdr:col>19</xdr:col>
      <xdr:colOff>54373</xdr:colOff>
      <xdr:row>19</xdr:row>
      <xdr:rowOff>159042</xdr:rowOff>
    </xdr:to>
    <xdr:sp macro="" textlink="">
      <xdr:nvSpPr>
        <xdr:cNvPr id="23" name="Option Button 341" hidden="1">
          <a:extLst>
            <a:ext uri="{63B3BB69-23CF-44E3-9099-C40C66FF867C}">
              <a14:compatExt xmlns:a14="http://schemas.microsoft.com/office/drawing/2010/main" spid="_x0000_s3413"/>
            </a:ext>
            <a:ext uri="{FF2B5EF4-FFF2-40B4-BE49-F238E27FC236}">
              <a16:creationId xmlns:a16="http://schemas.microsoft.com/office/drawing/2014/main" id="{00000000-0008-0000-0300-000017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Average Salary</a:t>
          </a:r>
        </a:p>
      </xdr:txBody>
    </xdr:sp>
    <xdr:clientData fLocksWithSheet="0"/>
  </xdr:twoCellAnchor>
  <xdr:oneCellAnchor>
    <xdr:from>
      <xdr:col>13</xdr:col>
      <xdr:colOff>361950</xdr:colOff>
      <xdr:row>18</xdr:row>
      <xdr:rowOff>66675</xdr:rowOff>
    </xdr:from>
    <xdr:ext cx="216534" cy="264560"/>
    <xdr:sp macro="" textlink="#REF!">
      <xdr:nvSpPr>
        <xdr:cNvPr id="20" name="ZoneTexte 19">
          <a:extLst>
            <a:ext uri="{FF2B5EF4-FFF2-40B4-BE49-F238E27FC236}">
              <a16:creationId xmlns:a16="http://schemas.microsoft.com/office/drawing/2014/main" id="{00000000-0008-0000-0300-000014000000}"/>
            </a:ext>
          </a:extLst>
        </xdr:cNvPr>
        <xdr:cNvSpPr txBox="1"/>
      </xdr:nvSpPr>
      <xdr:spPr>
        <a:xfrm>
          <a:off x="9020175" y="3505200"/>
          <a:ext cx="2165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fld id="{FCF3E905-51DD-4752-AD0A-AB91B2C2BDB2}" type="TxLink">
            <a:rPr lang="en-US" sz="1100" b="0" i="0" u="none" strike="noStrike">
              <a:solidFill>
                <a:srgbClr val="000000"/>
              </a:solidFill>
              <a:latin typeface="Calibri"/>
              <a:ea typeface="+mn-ea"/>
              <a:cs typeface="Calibri"/>
            </a:rPr>
            <a:pPr/>
            <a:t> </a:t>
          </a:fld>
          <a:endParaRPr lang="fr-CA" sz="1100"/>
        </a:p>
      </xdr:txBody>
    </xdr:sp>
    <xdr:clientData/>
  </xdr:oneCellAnchor>
  <xdr:oneCellAnchor>
    <xdr:from>
      <xdr:col>1</xdr:col>
      <xdr:colOff>38100</xdr:colOff>
      <xdr:row>23</xdr:row>
      <xdr:rowOff>47625</xdr:rowOff>
    </xdr:from>
    <xdr:ext cx="2066925" cy="264560"/>
    <xdr:sp macro="" textlink="#REF!">
      <xdr:nvSpPr>
        <xdr:cNvPr id="57" name="ZoneTexte 10">
          <a:extLst>
            <a:ext uri="{FF2B5EF4-FFF2-40B4-BE49-F238E27FC236}">
              <a16:creationId xmlns:a16="http://schemas.microsoft.com/office/drawing/2014/main" id="{79BB65E7-6527-4FAF-9E09-16BCD5E9A625}"/>
            </a:ext>
          </a:extLst>
        </xdr:cNvPr>
        <xdr:cNvSpPr txBox="1"/>
      </xdr:nvSpPr>
      <xdr:spPr>
        <a:xfrm>
          <a:off x="904009" y="1866034"/>
          <a:ext cx="20669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8F41151-4AEF-4387-B888-B4A4522F141F}" type="TxLink">
            <a:rPr lang="en-US" sz="1100" b="0" i="0" u="none" strike="noStrike">
              <a:solidFill>
                <a:schemeClr val="tx1">
                  <a:lumMod val="50000"/>
                  <a:lumOff val="50000"/>
                </a:schemeClr>
              </a:solidFill>
              <a:latin typeface="Calibri"/>
              <a:cs typeface="Calibri"/>
            </a:rPr>
            <a:pPr algn="ctr"/>
            <a:t> </a:t>
          </a:fld>
          <a:endParaRPr lang="fr-CA" sz="1000">
            <a:solidFill>
              <a:schemeClr val="tx1">
                <a:lumMod val="50000"/>
                <a:lumOff val="50000"/>
              </a:schemeClr>
            </a:solidFill>
          </a:endParaRPr>
        </a:p>
      </xdr:txBody>
    </xdr:sp>
    <xdr:clientData/>
  </xdr:oneCellAnchor>
  <xdr:twoCellAnchor>
    <xdr:from>
      <xdr:col>1</xdr:col>
      <xdr:colOff>81643</xdr:colOff>
      <xdr:row>9</xdr:row>
      <xdr:rowOff>155640</xdr:rowOff>
    </xdr:from>
    <xdr:to>
      <xdr:col>3</xdr:col>
      <xdr:colOff>61232</xdr:colOff>
      <xdr:row>10</xdr:row>
      <xdr:rowOff>276868</xdr:rowOff>
    </xdr:to>
    <xdr:graphicFrame macro="">
      <xdr:nvGraphicFramePr>
        <xdr:cNvPr id="66" name="TinyChart1">
          <a:extLst>
            <a:ext uri="{FF2B5EF4-FFF2-40B4-BE49-F238E27FC236}">
              <a16:creationId xmlns:a16="http://schemas.microsoft.com/office/drawing/2014/main" id="{63E59DA8-836E-4546-A6F8-4B3557B7A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113109</xdr:colOff>
      <xdr:row>9</xdr:row>
      <xdr:rowOff>214312</xdr:rowOff>
    </xdr:from>
    <xdr:to>
      <xdr:col>7</xdr:col>
      <xdr:colOff>523875</xdr:colOff>
      <xdr:row>11</xdr:row>
      <xdr:rowOff>71437</xdr:rowOff>
    </xdr:to>
    <xdr:graphicFrame macro="">
      <xdr:nvGraphicFramePr>
        <xdr:cNvPr id="68" name="TinyChart2">
          <a:extLst>
            <a:ext uri="{FF2B5EF4-FFF2-40B4-BE49-F238E27FC236}">
              <a16:creationId xmlns:a16="http://schemas.microsoft.com/office/drawing/2014/main" id="{8694A26E-7044-458F-934C-B100A5A65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65484</xdr:colOff>
      <xdr:row>9</xdr:row>
      <xdr:rowOff>154781</xdr:rowOff>
    </xdr:from>
    <xdr:to>
      <xdr:col>13</xdr:col>
      <xdr:colOff>172641</xdr:colOff>
      <xdr:row>11</xdr:row>
      <xdr:rowOff>65522</xdr:rowOff>
    </xdr:to>
    <xdr:graphicFrame macro="">
      <xdr:nvGraphicFramePr>
        <xdr:cNvPr id="69" name="TinyChart3">
          <a:extLst>
            <a:ext uri="{FF2B5EF4-FFF2-40B4-BE49-F238E27FC236}">
              <a16:creationId xmlns:a16="http://schemas.microsoft.com/office/drawing/2014/main" id="{FD068C84-A5A7-4D8B-BB47-A7586F2722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190972</xdr:colOff>
      <xdr:row>9</xdr:row>
      <xdr:rowOff>222684</xdr:rowOff>
    </xdr:from>
    <xdr:to>
      <xdr:col>17</xdr:col>
      <xdr:colOff>245400</xdr:colOff>
      <xdr:row>11</xdr:row>
      <xdr:rowOff>136695</xdr:rowOff>
    </xdr:to>
    <xdr:graphicFrame macro="">
      <xdr:nvGraphicFramePr>
        <xdr:cNvPr id="70" name="TinyChart4">
          <a:extLst>
            <a:ext uri="{FF2B5EF4-FFF2-40B4-BE49-F238E27FC236}">
              <a16:creationId xmlns:a16="http://schemas.microsoft.com/office/drawing/2014/main" id="{AC8D3CCA-8AC3-4882-8391-11FB59E74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108491</xdr:colOff>
      <xdr:row>9</xdr:row>
      <xdr:rowOff>105001</xdr:rowOff>
    </xdr:from>
    <xdr:to>
      <xdr:col>20</xdr:col>
      <xdr:colOff>700402</xdr:colOff>
      <xdr:row>10</xdr:row>
      <xdr:rowOff>277280</xdr:rowOff>
    </xdr:to>
    <xdr:graphicFrame macro="">
      <xdr:nvGraphicFramePr>
        <xdr:cNvPr id="73" name="TinyChart5">
          <a:extLst>
            <a:ext uri="{FF2B5EF4-FFF2-40B4-BE49-F238E27FC236}">
              <a16:creationId xmlns:a16="http://schemas.microsoft.com/office/drawing/2014/main" id="{FEFAAABE-9E57-4259-B02A-56BBDD652A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131747</xdr:colOff>
      <xdr:row>15</xdr:row>
      <xdr:rowOff>253724</xdr:rowOff>
    </xdr:from>
    <xdr:to>
      <xdr:col>20</xdr:col>
      <xdr:colOff>784890</xdr:colOff>
      <xdr:row>17</xdr:row>
      <xdr:rowOff>70642</xdr:rowOff>
    </xdr:to>
    <xdr:graphicFrame macro="">
      <xdr:nvGraphicFramePr>
        <xdr:cNvPr id="61" name="TinyChart6">
          <a:extLst>
            <a:ext uri="{FF2B5EF4-FFF2-40B4-BE49-F238E27FC236}">
              <a16:creationId xmlns:a16="http://schemas.microsoft.com/office/drawing/2014/main" id="{3B10D90B-0D4F-44E9-87C4-3D600DBB3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280379</xdr:colOff>
      <xdr:row>15</xdr:row>
      <xdr:rowOff>146025</xdr:rowOff>
    </xdr:from>
    <xdr:to>
      <xdr:col>17</xdr:col>
      <xdr:colOff>240408</xdr:colOff>
      <xdr:row>17</xdr:row>
      <xdr:rowOff>151980</xdr:rowOff>
    </xdr:to>
    <xdr:graphicFrame macro="">
      <xdr:nvGraphicFramePr>
        <xdr:cNvPr id="71" name="TinyChart8">
          <a:extLst>
            <a:ext uri="{FF2B5EF4-FFF2-40B4-BE49-F238E27FC236}">
              <a16:creationId xmlns:a16="http://schemas.microsoft.com/office/drawing/2014/main" id="{43750ACF-6381-4D27-9D58-02192F291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50059</xdr:colOff>
      <xdr:row>14</xdr:row>
      <xdr:rowOff>79638</xdr:rowOff>
    </xdr:from>
    <xdr:to>
      <xdr:col>7</xdr:col>
      <xdr:colOff>431059</xdr:colOff>
      <xdr:row>16</xdr:row>
      <xdr:rowOff>211278</xdr:rowOff>
    </xdr:to>
    <xdr:graphicFrame macro="">
      <xdr:nvGraphicFramePr>
        <xdr:cNvPr id="78" name="TinyChart11">
          <a:extLst>
            <a:ext uri="{FF2B5EF4-FFF2-40B4-BE49-F238E27FC236}">
              <a16:creationId xmlns:a16="http://schemas.microsoft.com/office/drawing/2014/main" id="{BB4AED76-5494-4F52-BEB6-7A536E0F92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228153</xdr:colOff>
      <xdr:row>15</xdr:row>
      <xdr:rowOff>135520</xdr:rowOff>
    </xdr:from>
    <xdr:to>
      <xdr:col>13</xdr:col>
      <xdr:colOff>132902</xdr:colOff>
      <xdr:row>17</xdr:row>
      <xdr:rowOff>44371</xdr:rowOff>
    </xdr:to>
    <xdr:graphicFrame macro="">
      <xdr:nvGraphicFramePr>
        <xdr:cNvPr id="79" name="TinyChart12">
          <a:extLst>
            <a:ext uri="{FF2B5EF4-FFF2-40B4-BE49-F238E27FC236}">
              <a16:creationId xmlns:a16="http://schemas.microsoft.com/office/drawing/2014/main" id="{05695A45-E8C0-44CF-A5A9-50AFDB8CE3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144295</xdr:colOff>
      <xdr:row>4</xdr:row>
      <xdr:rowOff>265046</xdr:rowOff>
    </xdr:from>
    <xdr:to>
      <xdr:col>13</xdr:col>
      <xdr:colOff>58459</xdr:colOff>
      <xdr:row>5</xdr:row>
      <xdr:rowOff>303858</xdr:rowOff>
    </xdr:to>
    <xdr:sp macro="" textlink="calc!#REF!">
      <xdr:nvSpPr>
        <xdr:cNvPr id="82" name="TextBox 1">
          <a:extLst>
            <a:ext uri="{FF2B5EF4-FFF2-40B4-BE49-F238E27FC236}">
              <a16:creationId xmlns:a16="http://schemas.microsoft.com/office/drawing/2014/main" id="{579EF0CA-543E-405C-BA18-5BD55A3DA9D3}"/>
            </a:ext>
          </a:extLst>
        </xdr:cNvPr>
        <xdr:cNvSpPr txBox="1"/>
      </xdr:nvSpPr>
      <xdr:spPr>
        <a:xfrm>
          <a:off x="5158399" y="1181603"/>
          <a:ext cx="1297985" cy="344330"/>
        </a:xfrm>
        <a:prstGeom prst="rect">
          <a:avLst/>
        </a:prstGeom>
      </xdr:spPr>
      <xdr:txBody>
        <a:bodyPr vert="horz"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BE0BD683-A23D-4609-9BE0-36D87A2C18FA}" type="TxLink">
            <a:rPr lang="en-US" sz="2400" b="1" i="1" u="none" strike="noStrike">
              <a:solidFill>
                <a:srgbClr val="7F7F7F"/>
              </a:solidFill>
              <a:latin typeface="Segoe UI" panose="020B0502040204020203" pitchFamily="34" charset="0"/>
              <a:cs typeface="Segoe UI" panose="020B0502040204020203" pitchFamily="34" charset="0"/>
            </a:rPr>
            <a:pPr algn="ctr"/>
            <a:t> </a:t>
          </a:fld>
          <a:endParaRPr lang="en-US" sz="3200" b="1">
            <a:latin typeface="Segoe UI" panose="020B0502040204020203" pitchFamily="34" charset="0"/>
            <a:cs typeface="Segoe UI" panose="020B0502040204020203" pitchFamily="34" charset="0"/>
          </a:endParaRPr>
        </a:p>
      </xdr:txBody>
    </xdr:sp>
    <xdr:clientData/>
  </xdr:twoCellAnchor>
  <xdr:twoCellAnchor>
    <xdr:from>
      <xdr:col>1</xdr:col>
      <xdr:colOff>95251</xdr:colOff>
      <xdr:row>15</xdr:row>
      <xdr:rowOff>164438</xdr:rowOff>
    </xdr:from>
    <xdr:to>
      <xdr:col>3</xdr:col>
      <xdr:colOff>108858</xdr:colOff>
      <xdr:row>17</xdr:row>
      <xdr:rowOff>54161</xdr:rowOff>
    </xdr:to>
    <xdr:graphicFrame macro="">
      <xdr:nvGraphicFramePr>
        <xdr:cNvPr id="95" name="TinyChart1">
          <a:extLst>
            <a:ext uri="{FF2B5EF4-FFF2-40B4-BE49-F238E27FC236}">
              <a16:creationId xmlns:a16="http://schemas.microsoft.com/office/drawing/2014/main" id="{8FDB53FC-5629-48BC-A4C0-ED5015C6E5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563146</xdr:colOff>
      <xdr:row>7</xdr:row>
      <xdr:rowOff>87176</xdr:rowOff>
    </xdr:from>
    <xdr:to>
      <xdr:col>19</xdr:col>
      <xdr:colOff>244430</xdr:colOff>
      <xdr:row>13</xdr:row>
      <xdr:rowOff>20411</xdr:rowOff>
    </xdr:to>
    <xdr:grpSp>
      <xdr:nvGrpSpPr>
        <xdr:cNvPr id="6" name="HelpBox" hidden="1">
          <a:extLst>
            <a:ext uri="{FF2B5EF4-FFF2-40B4-BE49-F238E27FC236}">
              <a16:creationId xmlns:a16="http://schemas.microsoft.com/office/drawing/2014/main" id="{F9CBE43A-33F0-424C-B63E-AA6114E1DAEB}"/>
            </a:ext>
          </a:extLst>
        </xdr:cNvPr>
        <xdr:cNvGrpSpPr/>
      </xdr:nvGrpSpPr>
      <xdr:grpSpPr>
        <a:xfrm>
          <a:off x="1553746" y="1392101"/>
          <a:ext cx="6224959" cy="1295310"/>
          <a:chOff x="1467504" y="1696134"/>
          <a:chExt cx="5622190" cy="1147757"/>
        </a:xfrm>
      </xdr:grpSpPr>
      <xdr:sp macro="" textlink="">
        <xdr:nvSpPr>
          <xdr:cNvPr id="84" name="Rounded Rectangular Callout 15" hidden="1">
            <a:extLst>
              <a:ext uri="{FF2B5EF4-FFF2-40B4-BE49-F238E27FC236}">
                <a16:creationId xmlns:a16="http://schemas.microsoft.com/office/drawing/2014/main" id="{02266FAE-E293-4777-941E-4F7AC815A46B}"/>
              </a:ext>
            </a:extLst>
          </xdr:cNvPr>
          <xdr:cNvSpPr/>
        </xdr:nvSpPr>
        <xdr:spPr>
          <a:xfrm>
            <a:off x="1483444" y="1696134"/>
            <a:ext cx="705110" cy="315018"/>
          </a:xfrm>
          <a:prstGeom prst="wedgeRoundRectCallout">
            <a:avLst>
              <a:gd name="adj1" fmla="val -63898"/>
              <a:gd name="adj2" fmla="val -30986"/>
              <a:gd name="adj3" fmla="val 16667"/>
            </a:avLst>
          </a:prstGeom>
          <a:solidFill>
            <a:srgbClr val="4F83BD">
              <a:alpha val="60000"/>
            </a:srgbClr>
          </a:solidFill>
          <a:ln>
            <a:solidFill>
              <a:schemeClr val="bg2">
                <a:lumMod val="50000"/>
              </a:schemeClr>
            </a:solidFill>
          </a:ln>
          <a:effectLst>
            <a:outerShdw blurRad="63500" sx="102000" sy="102000" algn="ctr" rotWithShape="0">
              <a:prstClr val="black">
                <a:alpha val="40000"/>
              </a:prst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700" b="0">
                <a:solidFill>
                  <a:schemeClr val="bg1"/>
                </a:solidFill>
              </a:rPr>
              <a:t>Explanation</a:t>
            </a:r>
            <a:r>
              <a:rPr lang="en-US" sz="700" b="0" baseline="0">
                <a:solidFill>
                  <a:schemeClr val="bg1"/>
                </a:solidFill>
              </a:rPr>
              <a:t> no.4.</a:t>
            </a:r>
            <a:endParaRPr lang="en-US" sz="700" b="0">
              <a:solidFill>
                <a:schemeClr val="bg1"/>
              </a:solidFill>
            </a:endParaRPr>
          </a:p>
        </xdr:txBody>
      </xdr:sp>
      <xdr:sp macro="" textlink="">
        <xdr:nvSpPr>
          <xdr:cNvPr id="87" name="Rounded Rectangular Callout 18" hidden="1">
            <a:extLst>
              <a:ext uri="{FF2B5EF4-FFF2-40B4-BE49-F238E27FC236}">
                <a16:creationId xmlns:a16="http://schemas.microsoft.com/office/drawing/2014/main" id="{D7EC649C-2368-487D-836B-1A3ED0D40B0C}"/>
              </a:ext>
            </a:extLst>
          </xdr:cNvPr>
          <xdr:cNvSpPr/>
        </xdr:nvSpPr>
        <xdr:spPr>
          <a:xfrm>
            <a:off x="6264709" y="1745188"/>
            <a:ext cx="824985" cy="315129"/>
          </a:xfrm>
          <a:prstGeom prst="wedgeRoundRectCallout">
            <a:avLst>
              <a:gd name="adj1" fmla="val -30323"/>
              <a:gd name="adj2" fmla="val -79994"/>
              <a:gd name="adj3" fmla="val 16667"/>
            </a:avLst>
          </a:prstGeom>
          <a:solidFill>
            <a:srgbClr val="4F83BD">
              <a:alpha val="60000"/>
            </a:srgbClr>
          </a:solidFill>
          <a:ln>
            <a:solidFill>
              <a:schemeClr val="bg2">
                <a:lumMod val="50000"/>
              </a:schemeClr>
            </a:solidFill>
          </a:ln>
          <a:effectLst>
            <a:outerShdw blurRad="63500" sx="102000" sy="102000" algn="ctr" rotWithShape="0">
              <a:prstClr val="black">
                <a:alpha val="40000"/>
              </a:prst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700">
                <a:solidFill>
                  <a:schemeClr val="bg1"/>
                </a:solidFill>
              </a:rPr>
              <a:t>Explanation no.1.</a:t>
            </a:r>
          </a:p>
        </xdr:txBody>
      </xdr:sp>
      <xdr:sp macro="" textlink="">
        <xdr:nvSpPr>
          <xdr:cNvPr id="89" name="Rounded Rectangular Callout 19" hidden="1">
            <a:extLst>
              <a:ext uri="{FF2B5EF4-FFF2-40B4-BE49-F238E27FC236}">
                <a16:creationId xmlns:a16="http://schemas.microsoft.com/office/drawing/2014/main" id="{1BC7FDAE-CD9B-4815-93F4-F25FA9E0CCC8}"/>
              </a:ext>
            </a:extLst>
          </xdr:cNvPr>
          <xdr:cNvSpPr/>
        </xdr:nvSpPr>
        <xdr:spPr>
          <a:xfrm>
            <a:off x="1467504" y="2507322"/>
            <a:ext cx="791654" cy="329767"/>
          </a:xfrm>
          <a:prstGeom prst="wedgeRoundRectCallout">
            <a:avLst>
              <a:gd name="adj1" fmla="val -33685"/>
              <a:gd name="adj2" fmla="val 63263"/>
              <a:gd name="adj3" fmla="val 16667"/>
            </a:avLst>
          </a:prstGeom>
          <a:solidFill>
            <a:srgbClr val="4F83BD">
              <a:alpha val="60000"/>
            </a:srgbClr>
          </a:solidFill>
          <a:ln>
            <a:solidFill>
              <a:schemeClr val="bg2">
                <a:lumMod val="50000"/>
              </a:schemeClr>
            </a:solidFill>
          </a:ln>
          <a:effectLst>
            <a:outerShdw blurRad="63500" sx="102000" sy="102000" algn="ctr" rotWithShape="0">
              <a:prstClr val="black">
                <a:alpha val="40000"/>
              </a:prst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800">
                <a:solidFill>
                  <a:schemeClr val="bg1"/>
                </a:solidFill>
                <a:effectLst/>
                <a:latin typeface="+mn-lt"/>
                <a:ea typeface="+mn-ea"/>
                <a:cs typeface="+mn-cs"/>
              </a:rPr>
              <a:t>Explanation</a:t>
            </a:r>
            <a:r>
              <a:rPr lang="en-US" sz="800" baseline="0">
                <a:solidFill>
                  <a:schemeClr val="bg1"/>
                </a:solidFill>
                <a:effectLst/>
                <a:latin typeface="+mn-lt"/>
                <a:ea typeface="+mn-ea"/>
                <a:cs typeface="+mn-cs"/>
              </a:rPr>
              <a:t> no.3</a:t>
            </a:r>
            <a:endParaRPr lang="en-US" sz="400">
              <a:solidFill>
                <a:schemeClr val="bg1"/>
              </a:solidFill>
            </a:endParaRPr>
          </a:p>
        </xdr:txBody>
      </xdr:sp>
      <xdr:sp macro="" textlink="">
        <xdr:nvSpPr>
          <xdr:cNvPr id="91" name="Rounded Rectangular Callout 20" hidden="1">
            <a:extLst>
              <a:ext uri="{FF2B5EF4-FFF2-40B4-BE49-F238E27FC236}">
                <a16:creationId xmlns:a16="http://schemas.microsoft.com/office/drawing/2014/main" id="{23D98F7D-9D43-4860-8237-8BE5A079B2C8}"/>
              </a:ext>
            </a:extLst>
          </xdr:cNvPr>
          <xdr:cNvSpPr/>
        </xdr:nvSpPr>
        <xdr:spPr>
          <a:xfrm>
            <a:off x="4591658" y="2580681"/>
            <a:ext cx="833108" cy="263210"/>
          </a:xfrm>
          <a:prstGeom prst="wedgeRoundRectCallout">
            <a:avLst>
              <a:gd name="adj1" fmla="val -26159"/>
              <a:gd name="adj2" fmla="val 65004"/>
              <a:gd name="adj3" fmla="val 16667"/>
            </a:avLst>
          </a:prstGeom>
          <a:solidFill>
            <a:srgbClr val="4F83BD">
              <a:alpha val="60000"/>
            </a:srgbClr>
          </a:solidFill>
          <a:ln>
            <a:solidFill>
              <a:schemeClr val="bg2">
                <a:lumMod val="50000"/>
              </a:schemeClr>
            </a:solidFill>
          </a:ln>
          <a:effectLst>
            <a:outerShdw blurRad="63500" sx="102000" sy="102000" algn="ctr" rotWithShape="0">
              <a:prstClr val="black">
                <a:alpha val="40000"/>
              </a:prst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700">
                <a:solidFill>
                  <a:schemeClr val="bg1"/>
                </a:solidFill>
              </a:rPr>
              <a:t>Explanation no.2.</a:t>
            </a:r>
          </a:p>
        </xdr:txBody>
      </xdr:sp>
    </xdr:grpSp>
    <xdr:clientData/>
  </xdr:twoCellAnchor>
  <mc:AlternateContent xmlns:mc="http://schemas.openxmlformats.org/markup-compatibility/2006">
    <mc:Choice xmlns:a14="http://schemas.microsoft.com/office/drawing/2010/main" Requires="a14">
      <xdr:twoCellAnchor editAs="oneCell">
        <xdr:from>
          <xdr:col>1</xdr:col>
          <xdr:colOff>95250</xdr:colOff>
          <xdr:row>10</xdr:row>
          <xdr:rowOff>261937</xdr:rowOff>
        </xdr:from>
        <xdr:to>
          <xdr:col>2</xdr:col>
          <xdr:colOff>304800</xdr:colOff>
          <xdr:row>11</xdr:row>
          <xdr:rowOff>158352</xdr:rowOff>
        </xdr:to>
        <xdr:pic>
          <xdr:nvPicPr>
            <xdr:cNvPr id="47" name="Picture 46">
              <a:extLst>
                <a:ext uri="{FF2B5EF4-FFF2-40B4-BE49-F238E27FC236}">
                  <a16:creationId xmlns:a16="http://schemas.microsoft.com/office/drawing/2014/main" id="{01C91B73-83B1-4FE9-8FB7-5CB8AB095984}"/>
                </a:ext>
              </a:extLst>
            </xdr:cNvPr>
            <xdr:cNvPicPr>
              <a:picLocks noChangeAspect="1" noChangeArrowheads="1"/>
              <a:extLst>
                <a:ext uri="{84589F7E-364E-4C9E-8A38-B11213B215E9}">
                  <a14:cameraTool cellRange="'Variance Calculation'!$R$6" spid="_x0000_s30086"/>
                </a:ext>
              </a:extLst>
            </xdr:cNvPicPr>
          </xdr:nvPicPr>
          <xdr:blipFill>
            <a:blip xmlns:r="http://schemas.openxmlformats.org/officeDocument/2006/relationships" r:embed="rId11"/>
            <a:srcRect/>
            <a:stretch>
              <a:fillRect/>
            </a:stretch>
          </xdr:blipFill>
          <xdr:spPr bwMode="auto">
            <a:xfrm>
              <a:off x="374650" y="2243137"/>
              <a:ext cx="937683" cy="2012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232173</xdr:colOff>
      <xdr:row>11</xdr:row>
      <xdr:rowOff>95251</xdr:rowOff>
    </xdr:from>
    <xdr:to>
      <xdr:col>2</xdr:col>
      <xdr:colOff>686879</xdr:colOff>
      <xdr:row>12</xdr:row>
      <xdr:rowOff>5953</xdr:rowOff>
    </xdr:to>
    <xdr:sp macro="" textlink="">
      <xdr:nvSpPr>
        <xdr:cNvPr id="31" name="TextBox 30">
          <a:extLst>
            <a:ext uri="{FF2B5EF4-FFF2-40B4-BE49-F238E27FC236}">
              <a16:creationId xmlns:a16="http://schemas.microsoft.com/office/drawing/2014/main" id="{39547AAE-57FE-4E36-84A1-4443A68E9B89}"/>
            </a:ext>
          </a:extLst>
        </xdr:cNvPr>
        <xdr:cNvSpPr txBox="1"/>
      </xdr:nvSpPr>
      <xdr:spPr>
        <a:xfrm>
          <a:off x="511573" y="2381251"/>
          <a:ext cx="1182839" cy="21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5</xdr:col>
      <xdr:colOff>330994</xdr:colOff>
      <xdr:row>11</xdr:row>
      <xdr:rowOff>98823</xdr:rowOff>
    </xdr:from>
    <xdr:to>
      <xdr:col>7</xdr:col>
      <xdr:colOff>488044</xdr:colOff>
      <xdr:row>12</xdr:row>
      <xdr:rowOff>9525</xdr:rowOff>
    </xdr:to>
    <xdr:sp macro="" textlink="">
      <xdr:nvSpPr>
        <xdr:cNvPr id="32" name="TextBox 31">
          <a:extLst>
            <a:ext uri="{FF2B5EF4-FFF2-40B4-BE49-F238E27FC236}">
              <a16:creationId xmlns:a16="http://schemas.microsoft.com/office/drawing/2014/main" id="{471CC9ED-C51F-4D53-BE6B-23C1476A363D}"/>
            </a:ext>
          </a:extLst>
        </xdr:cNvPr>
        <xdr:cNvSpPr txBox="1"/>
      </xdr:nvSpPr>
      <xdr:spPr>
        <a:xfrm>
          <a:off x="2212182" y="2825354"/>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11</xdr:col>
      <xdr:colOff>298847</xdr:colOff>
      <xdr:row>11</xdr:row>
      <xdr:rowOff>102395</xdr:rowOff>
    </xdr:from>
    <xdr:to>
      <xdr:col>13</xdr:col>
      <xdr:colOff>57037</xdr:colOff>
      <xdr:row>12</xdr:row>
      <xdr:rowOff>13097</xdr:rowOff>
    </xdr:to>
    <xdr:sp macro="" textlink="">
      <xdr:nvSpPr>
        <xdr:cNvPr id="33" name="TextBox 32">
          <a:extLst>
            <a:ext uri="{FF2B5EF4-FFF2-40B4-BE49-F238E27FC236}">
              <a16:creationId xmlns:a16="http://schemas.microsoft.com/office/drawing/2014/main" id="{9C0D528B-C6B9-4FFC-BB81-AB153E22F800}"/>
            </a:ext>
          </a:extLst>
        </xdr:cNvPr>
        <xdr:cNvSpPr txBox="1"/>
      </xdr:nvSpPr>
      <xdr:spPr>
        <a:xfrm>
          <a:off x="3852863" y="2828926"/>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15</xdr:col>
      <xdr:colOff>436299</xdr:colOff>
      <xdr:row>11</xdr:row>
      <xdr:rowOff>108480</xdr:rowOff>
    </xdr:from>
    <xdr:to>
      <xdr:col>17</xdr:col>
      <xdr:colOff>194489</xdr:colOff>
      <xdr:row>12</xdr:row>
      <xdr:rowOff>19182</xdr:rowOff>
    </xdr:to>
    <xdr:sp macro="" textlink="">
      <xdr:nvSpPr>
        <xdr:cNvPr id="34" name="TextBox 33">
          <a:extLst>
            <a:ext uri="{FF2B5EF4-FFF2-40B4-BE49-F238E27FC236}">
              <a16:creationId xmlns:a16="http://schemas.microsoft.com/office/drawing/2014/main" id="{04A8126C-6538-4121-8D05-E3614A8798A2}"/>
            </a:ext>
          </a:extLst>
        </xdr:cNvPr>
        <xdr:cNvSpPr txBox="1"/>
      </xdr:nvSpPr>
      <xdr:spPr>
        <a:xfrm>
          <a:off x="6015832" y="2394480"/>
          <a:ext cx="1214457" cy="21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19</xdr:col>
      <xdr:colOff>317897</xdr:colOff>
      <xdr:row>11</xdr:row>
      <xdr:rowOff>103586</xdr:rowOff>
    </xdr:from>
    <xdr:to>
      <xdr:col>20</xdr:col>
      <xdr:colOff>707118</xdr:colOff>
      <xdr:row>12</xdr:row>
      <xdr:rowOff>14288</xdr:rowOff>
    </xdr:to>
    <xdr:sp macro="" textlink="">
      <xdr:nvSpPr>
        <xdr:cNvPr id="35" name="TextBox 34">
          <a:extLst>
            <a:ext uri="{FF2B5EF4-FFF2-40B4-BE49-F238E27FC236}">
              <a16:creationId xmlns:a16="http://schemas.microsoft.com/office/drawing/2014/main" id="{C6C2DE92-3769-415F-9F5F-704C7565626D}"/>
            </a:ext>
          </a:extLst>
        </xdr:cNvPr>
        <xdr:cNvSpPr txBox="1"/>
      </xdr:nvSpPr>
      <xdr:spPr>
        <a:xfrm>
          <a:off x="7247335" y="2830117"/>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xdr:col>
      <xdr:colOff>261937</xdr:colOff>
      <xdr:row>17</xdr:row>
      <xdr:rowOff>71439</xdr:rowOff>
    </xdr:from>
    <xdr:to>
      <xdr:col>3</xdr:col>
      <xdr:colOff>20127</xdr:colOff>
      <xdr:row>17</xdr:row>
      <xdr:rowOff>285751</xdr:rowOff>
    </xdr:to>
    <xdr:sp macro="" textlink="">
      <xdr:nvSpPr>
        <xdr:cNvPr id="36" name="TextBox 35">
          <a:extLst>
            <a:ext uri="{FF2B5EF4-FFF2-40B4-BE49-F238E27FC236}">
              <a16:creationId xmlns:a16="http://schemas.microsoft.com/office/drawing/2014/main" id="{B10BCD76-B2A2-4554-B1F6-6EE5F98D71A3}"/>
            </a:ext>
          </a:extLst>
        </xdr:cNvPr>
        <xdr:cNvSpPr txBox="1"/>
      </xdr:nvSpPr>
      <xdr:spPr>
        <a:xfrm>
          <a:off x="529828" y="4149330"/>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5</xdr:col>
      <xdr:colOff>289321</xdr:colOff>
      <xdr:row>17</xdr:row>
      <xdr:rowOff>86917</xdr:rowOff>
    </xdr:from>
    <xdr:to>
      <xdr:col>7</xdr:col>
      <xdr:colOff>446371</xdr:colOff>
      <xdr:row>18</xdr:row>
      <xdr:rowOff>3573</xdr:rowOff>
    </xdr:to>
    <xdr:sp macro="" textlink="">
      <xdr:nvSpPr>
        <xdr:cNvPr id="37" name="TextBox 36">
          <a:extLst>
            <a:ext uri="{FF2B5EF4-FFF2-40B4-BE49-F238E27FC236}">
              <a16:creationId xmlns:a16="http://schemas.microsoft.com/office/drawing/2014/main" id="{EF01DAED-09B5-4DD0-9F1B-7F42981D88D5}"/>
            </a:ext>
          </a:extLst>
        </xdr:cNvPr>
        <xdr:cNvSpPr txBox="1"/>
      </xdr:nvSpPr>
      <xdr:spPr>
        <a:xfrm>
          <a:off x="2170509" y="4164808"/>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11</xdr:col>
      <xdr:colOff>263128</xdr:colOff>
      <xdr:row>17</xdr:row>
      <xdr:rowOff>72630</xdr:rowOff>
    </xdr:from>
    <xdr:to>
      <xdr:col>13</xdr:col>
      <xdr:colOff>21318</xdr:colOff>
      <xdr:row>17</xdr:row>
      <xdr:rowOff>286942</xdr:rowOff>
    </xdr:to>
    <xdr:sp macro="" textlink="">
      <xdr:nvSpPr>
        <xdr:cNvPr id="38" name="TextBox 37">
          <a:extLst>
            <a:ext uri="{FF2B5EF4-FFF2-40B4-BE49-F238E27FC236}">
              <a16:creationId xmlns:a16="http://schemas.microsoft.com/office/drawing/2014/main" id="{0540A45F-7F21-42BA-9602-CBFEBCBCE4F8}"/>
            </a:ext>
          </a:extLst>
        </xdr:cNvPr>
        <xdr:cNvSpPr txBox="1"/>
      </xdr:nvSpPr>
      <xdr:spPr>
        <a:xfrm>
          <a:off x="3817144" y="4150521"/>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15</xdr:col>
      <xdr:colOff>460772</xdr:colOff>
      <xdr:row>17</xdr:row>
      <xdr:rowOff>100014</xdr:rowOff>
    </xdr:from>
    <xdr:to>
      <xdr:col>17</xdr:col>
      <xdr:colOff>218962</xdr:colOff>
      <xdr:row>18</xdr:row>
      <xdr:rowOff>16670</xdr:rowOff>
    </xdr:to>
    <xdr:sp macro="" textlink="">
      <xdr:nvSpPr>
        <xdr:cNvPr id="39" name="TextBox 38">
          <a:extLst>
            <a:ext uri="{FF2B5EF4-FFF2-40B4-BE49-F238E27FC236}">
              <a16:creationId xmlns:a16="http://schemas.microsoft.com/office/drawing/2014/main" id="{34B63019-A755-400C-8D5F-F2A17675A686}"/>
            </a:ext>
          </a:extLst>
        </xdr:cNvPr>
        <xdr:cNvSpPr txBox="1"/>
      </xdr:nvSpPr>
      <xdr:spPr>
        <a:xfrm>
          <a:off x="6040305" y="3732214"/>
          <a:ext cx="1214457" cy="212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xdr:twoCellAnchor>
    <xdr:from>
      <xdr:col>19</xdr:col>
      <xdr:colOff>359568</xdr:colOff>
      <xdr:row>17</xdr:row>
      <xdr:rowOff>85727</xdr:rowOff>
    </xdr:from>
    <xdr:to>
      <xdr:col>20</xdr:col>
      <xdr:colOff>748789</xdr:colOff>
      <xdr:row>18</xdr:row>
      <xdr:rowOff>2383</xdr:rowOff>
    </xdr:to>
    <xdr:sp macro="" textlink="">
      <xdr:nvSpPr>
        <xdr:cNvPr id="40" name="TextBox 39">
          <a:extLst>
            <a:ext uri="{FF2B5EF4-FFF2-40B4-BE49-F238E27FC236}">
              <a16:creationId xmlns:a16="http://schemas.microsoft.com/office/drawing/2014/main" id="{882611B4-FCA6-4C65-BD02-C2FB2FDD6AD1}"/>
            </a:ext>
          </a:extLst>
        </xdr:cNvPr>
        <xdr:cNvSpPr txBox="1"/>
      </xdr:nvSpPr>
      <xdr:spPr>
        <a:xfrm>
          <a:off x="7289006" y="4163618"/>
          <a:ext cx="1151221"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mc:AlternateContent xmlns:mc="http://schemas.openxmlformats.org/markup-compatibility/2006">
    <mc:Choice xmlns:a14="http://schemas.microsoft.com/office/drawing/2010/main" Requires="a14">
      <xdr:twoCellAnchor editAs="oneCell">
        <xdr:from>
          <xdr:col>5</xdr:col>
          <xdr:colOff>113109</xdr:colOff>
          <xdr:row>10</xdr:row>
          <xdr:rowOff>285750</xdr:rowOff>
        </xdr:from>
        <xdr:to>
          <xdr:col>7</xdr:col>
          <xdr:colOff>25002</xdr:colOff>
          <xdr:row>11</xdr:row>
          <xdr:rowOff>182165</xdr:rowOff>
        </xdr:to>
        <xdr:pic>
          <xdr:nvPicPr>
            <xdr:cNvPr id="42" name="Picture 41">
              <a:extLst>
                <a:ext uri="{FF2B5EF4-FFF2-40B4-BE49-F238E27FC236}">
                  <a16:creationId xmlns:a16="http://schemas.microsoft.com/office/drawing/2014/main" id="{556FE0F4-3C5E-4D71-90CD-FE2AD9BA21B1}"/>
                </a:ext>
              </a:extLst>
            </xdr:cNvPr>
            <xdr:cNvPicPr>
              <a:picLocks noChangeAspect="1" noChangeArrowheads="1"/>
              <a:extLst>
                <a:ext uri="{84589F7E-364E-4C9E-8A38-B11213B215E9}">
                  <a14:cameraTool cellRange="'Variance Calculation'!$R$7" spid="_x0000_s30087"/>
                </a:ext>
              </a:extLst>
            </xdr:cNvPicPr>
          </xdr:nvPicPr>
          <xdr:blipFill>
            <a:blip xmlns:r="http://schemas.openxmlformats.org/officeDocument/2006/relationships" r:embed="rId12"/>
            <a:srcRect/>
            <a:stretch>
              <a:fillRect/>
            </a:stretch>
          </xdr:blipFill>
          <xdr:spPr bwMode="auto">
            <a:xfrm>
              <a:off x="1994297" y="2708672"/>
              <a:ext cx="906065" cy="2000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101202</xdr:colOff>
          <xdr:row>10</xdr:row>
          <xdr:rowOff>291703</xdr:rowOff>
        </xdr:from>
        <xdr:to>
          <xdr:col>12</xdr:col>
          <xdr:colOff>310754</xdr:colOff>
          <xdr:row>11</xdr:row>
          <xdr:rowOff>188118</xdr:rowOff>
        </xdr:to>
        <xdr:pic>
          <xdr:nvPicPr>
            <xdr:cNvPr id="43" name="Picture 42">
              <a:extLst>
                <a:ext uri="{FF2B5EF4-FFF2-40B4-BE49-F238E27FC236}">
                  <a16:creationId xmlns:a16="http://schemas.microsoft.com/office/drawing/2014/main" id="{D7E7153D-A676-4D98-ADF7-F21B19845DEC}"/>
                </a:ext>
              </a:extLst>
            </xdr:cNvPr>
            <xdr:cNvPicPr>
              <a:picLocks noChangeAspect="1" noChangeArrowheads="1"/>
              <a:extLst>
                <a:ext uri="{84589F7E-364E-4C9E-8A38-B11213B215E9}">
                  <a14:cameraTool cellRange="'Variance Calculation'!$R$8" spid="_x0000_s30088"/>
                </a:ext>
              </a:extLst>
            </xdr:cNvPicPr>
          </xdr:nvPicPr>
          <xdr:blipFill>
            <a:blip xmlns:r="http://schemas.openxmlformats.org/officeDocument/2006/relationships" r:embed="rId13"/>
            <a:srcRect/>
            <a:stretch>
              <a:fillRect/>
            </a:stretch>
          </xdr:blipFill>
          <xdr:spPr bwMode="auto">
            <a:xfrm>
              <a:off x="3655218" y="2714625"/>
              <a:ext cx="906066" cy="2000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209683</xdr:colOff>
          <xdr:row>10</xdr:row>
          <xdr:rowOff>285750</xdr:rowOff>
        </xdr:from>
        <xdr:to>
          <xdr:col>16</xdr:col>
          <xdr:colOff>418041</xdr:colOff>
          <xdr:row>11</xdr:row>
          <xdr:rowOff>182165</xdr:rowOff>
        </xdr:to>
        <xdr:pic>
          <xdr:nvPicPr>
            <xdr:cNvPr id="44" name="Picture 43">
              <a:extLst>
                <a:ext uri="{FF2B5EF4-FFF2-40B4-BE49-F238E27FC236}">
                  <a16:creationId xmlns:a16="http://schemas.microsoft.com/office/drawing/2014/main" id="{96D4C659-0DC0-4107-9E1E-589A72DEA847}"/>
                </a:ext>
              </a:extLst>
            </xdr:cNvPr>
            <xdr:cNvPicPr>
              <a:picLocks noChangeAspect="1" noChangeArrowheads="1"/>
              <a:extLst>
                <a:ext uri="{84589F7E-364E-4C9E-8A38-B11213B215E9}">
                  <a14:cameraTool cellRange="'Variance Calculation'!$R$9" spid="_x0000_s30089"/>
                </a:ext>
              </a:extLst>
            </xdr:cNvPicPr>
          </xdr:nvPicPr>
          <xdr:blipFill>
            <a:blip xmlns:r="http://schemas.openxmlformats.org/officeDocument/2006/relationships" r:embed="rId14"/>
            <a:srcRect/>
            <a:stretch>
              <a:fillRect/>
            </a:stretch>
          </xdr:blipFill>
          <xdr:spPr bwMode="auto">
            <a:xfrm>
              <a:off x="5789216" y="2266950"/>
              <a:ext cx="936492" cy="20121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120165</xdr:colOff>
          <xdr:row>10</xdr:row>
          <xdr:rowOff>291704</xdr:rowOff>
        </xdr:from>
        <xdr:to>
          <xdr:col>20</xdr:col>
          <xdr:colOff>262687</xdr:colOff>
          <xdr:row>11</xdr:row>
          <xdr:rowOff>172464</xdr:rowOff>
        </xdr:to>
        <xdr:pic>
          <xdr:nvPicPr>
            <xdr:cNvPr id="45" name="Picture 44">
              <a:extLst>
                <a:ext uri="{FF2B5EF4-FFF2-40B4-BE49-F238E27FC236}">
                  <a16:creationId xmlns:a16="http://schemas.microsoft.com/office/drawing/2014/main" id="{147A37DF-AE97-4AEA-A881-FD5031C85A93}"/>
                </a:ext>
              </a:extLst>
            </xdr:cNvPr>
            <xdr:cNvPicPr>
              <a:picLocks noChangeAspect="1" noChangeArrowheads="1"/>
              <a:extLst>
                <a:ext uri="{84589F7E-364E-4C9E-8A38-B11213B215E9}">
                  <a14:cameraTool cellRange="'Variance Calculation'!$R$10" spid="_x0000_s30090"/>
                </a:ext>
              </a:extLst>
            </xdr:cNvPicPr>
          </xdr:nvPicPr>
          <xdr:blipFill>
            <a:blip xmlns:r="http://schemas.openxmlformats.org/officeDocument/2006/relationships" r:embed="rId15"/>
            <a:srcRect/>
            <a:stretch>
              <a:fillRect/>
            </a:stretch>
          </xdr:blipFill>
          <xdr:spPr bwMode="auto">
            <a:xfrm>
              <a:off x="7606109" y="2704704"/>
              <a:ext cx="939800" cy="1841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71438</xdr:colOff>
          <xdr:row>16</xdr:row>
          <xdr:rowOff>250032</xdr:rowOff>
        </xdr:from>
        <xdr:to>
          <xdr:col>2</xdr:col>
          <xdr:colOff>280989</xdr:colOff>
          <xdr:row>17</xdr:row>
          <xdr:rowOff>146447</xdr:rowOff>
        </xdr:to>
        <xdr:pic>
          <xdr:nvPicPr>
            <xdr:cNvPr id="46" name="Picture 45">
              <a:extLst>
                <a:ext uri="{FF2B5EF4-FFF2-40B4-BE49-F238E27FC236}">
                  <a16:creationId xmlns:a16="http://schemas.microsoft.com/office/drawing/2014/main" id="{E37B09DF-E9A2-47CA-A264-92A3CB0BB8D0}"/>
                </a:ext>
              </a:extLst>
            </xdr:cNvPr>
            <xdr:cNvPicPr>
              <a:picLocks noChangeAspect="1" noChangeArrowheads="1"/>
              <a:extLst>
                <a:ext uri="{84589F7E-364E-4C9E-8A38-B11213B215E9}">
                  <a14:cameraTool cellRange="'Variance Calculation'!$R$11" spid="_x0000_s30091"/>
                </a:ext>
              </a:extLst>
            </xdr:cNvPicPr>
          </xdr:nvPicPr>
          <xdr:blipFill>
            <a:blip xmlns:r="http://schemas.openxmlformats.org/officeDocument/2006/relationships" r:embed="rId16"/>
            <a:srcRect/>
            <a:stretch>
              <a:fillRect/>
            </a:stretch>
          </xdr:blipFill>
          <xdr:spPr bwMode="auto">
            <a:xfrm>
              <a:off x="339329" y="4024313"/>
              <a:ext cx="906066" cy="2000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113109</xdr:colOff>
          <xdr:row>16</xdr:row>
          <xdr:rowOff>267891</xdr:rowOff>
        </xdr:from>
        <xdr:to>
          <xdr:col>7</xdr:col>
          <xdr:colOff>26193</xdr:colOff>
          <xdr:row>17</xdr:row>
          <xdr:rowOff>164306</xdr:rowOff>
        </xdr:to>
        <xdr:pic>
          <xdr:nvPicPr>
            <xdr:cNvPr id="48" name="Picture 47">
              <a:extLst>
                <a:ext uri="{FF2B5EF4-FFF2-40B4-BE49-F238E27FC236}">
                  <a16:creationId xmlns:a16="http://schemas.microsoft.com/office/drawing/2014/main" id="{1A05DD3D-1280-4882-966E-3B640151E86D}"/>
                </a:ext>
              </a:extLst>
            </xdr:cNvPr>
            <xdr:cNvPicPr>
              <a:picLocks noChangeAspect="1" noChangeArrowheads="1"/>
              <a:extLst>
                <a:ext uri="{84589F7E-364E-4C9E-8A38-B11213B215E9}">
                  <a14:cameraTool cellRange="'Variance Calculation'!$R$12" spid="_x0000_s30092"/>
                </a:ext>
              </a:extLst>
            </xdr:cNvPicPr>
          </xdr:nvPicPr>
          <xdr:blipFill>
            <a:blip xmlns:r="http://schemas.openxmlformats.org/officeDocument/2006/relationships" r:embed="rId17"/>
            <a:srcRect/>
            <a:stretch>
              <a:fillRect/>
            </a:stretch>
          </xdr:blipFill>
          <xdr:spPr bwMode="auto">
            <a:xfrm>
              <a:off x="1994297" y="4042172"/>
              <a:ext cx="907256" cy="2000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101202</xdr:colOff>
          <xdr:row>16</xdr:row>
          <xdr:rowOff>250031</xdr:rowOff>
        </xdr:from>
        <xdr:to>
          <xdr:col>12</xdr:col>
          <xdr:colOff>310754</xdr:colOff>
          <xdr:row>17</xdr:row>
          <xdr:rowOff>146446</xdr:rowOff>
        </xdr:to>
        <xdr:pic>
          <xdr:nvPicPr>
            <xdr:cNvPr id="49" name="Picture 48">
              <a:extLst>
                <a:ext uri="{FF2B5EF4-FFF2-40B4-BE49-F238E27FC236}">
                  <a16:creationId xmlns:a16="http://schemas.microsoft.com/office/drawing/2014/main" id="{AFAFFC33-D4A6-4A9C-B6F1-4606D0ABC967}"/>
                </a:ext>
              </a:extLst>
            </xdr:cNvPr>
            <xdr:cNvPicPr>
              <a:picLocks noChangeAspect="1" noChangeArrowheads="1"/>
              <a:extLst>
                <a:ext uri="{84589F7E-364E-4C9E-8A38-B11213B215E9}">
                  <a14:cameraTool cellRange="'Variance Calculation'!$R$13" spid="_x0000_s30093"/>
                </a:ext>
              </a:extLst>
            </xdr:cNvPicPr>
          </xdr:nvPicPr>
          <xdr:blipFill>
            <a:blip xmlns:r="http://schemas.openxmlformats.org/officeDocument/2006/relationships" r:embed="rId18"/>
            <a:srcRect/>
            <a:stretch>
              <a:fillRect/>
            </a:stretch>
          </xdr:blipFill>
          <xdr:spPr bwMode="auto">
            <a:xfrm>
              <a:off x="3655218" y="4024312"/>
              <a:ext cx="906066" cy="2000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236008</xdr:colOff>
          <xdr:row>16</xdr:row>
          <xdr:rowOff>267891</xdr:rowOff>
        </xdr:from>
        <xdr:to>
          <xdr:col>16</xdr:col>
          <xdr:colOff>445556</xdr:colOff>
          <xdr:row>17</xdr:row>
          <xdr:rowOff>164306</xdr:rowOff>
        </xdr:to>
        <xdr:pic>
          <xdr:nvPicPr>
            <xdr:cNvPr id="50" name="Picture 49">
              <a:extLst>
                <a:ext uri="{FF2B5EF4-FFF2-40B4-BE49-F238E27FC236}">
                  <a16:creationId xmlns:a16="http://schemas.microsoft.com/office/drawing/2014/main" id="{CCD88124-B10C-40D2-83A9-23B936791187}"/>
                </a:ext>
              </a:extLst>
            </xdr:cNvPr>
            <xdr:cNvPicPr>
              <a:picLocks noChangeAspect="1" noChangeArrowheads="1"/>
              <a:extLst>
                <a:ext uri="{84589F7E-364E-4C9E-8A38-B11213B215E9}">
                  <a14:cameraTool cellRange="'Variance Calculation'!$R$14" spid="_x0000_s30094"/>
                </a:ext>
              </a:extLst>
            </xdr:cNvPicPr>
          </xdr:nvPicPr>
          <xdr:blipFill>
            <a:blip xmlns:r="http://schemas.openxmlformats.org/officeDocument/2006/relationships" r:embed="rId19"/>
            <a:srcRect/>
            <a:stretch>
              <a:fillRect/>
            </a:stretch>
          </xdr:blipFill>
          <xdr:spPr bwMode="auto">
            <a:xfrm>
              <a:off x="5815541" y="3595291"/>
              <a:ext cx="937682" cy="20121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70968</xdr:colOff>
          <xdr:row>16</xdr:row>
          <xdr:rowOff>261937</xdr:rowOff>
        </xdr:from>
        <xdr:to>
          <xdr:col>20</xdr:col>
          <xdr:colOff>213843</xdr:colOff>
          <xdr:row>17</xdr:row>
          <xdr:rowOff>167877</xdr:rowOff>
        </xdr:to>
        <xdr:pic>
          <xdr:nvPicPr>
            <xdr:cNvPr id="51" name="Picture 50">
              <a:extLst>
                <a:ext uri="{FF2B5EF4-FFF2-40B4-BE49-F238E27FC236}">
                  <a16:creationId xmlns:a16="http://schemas.microsoft.com/office/drawing/2014/main" id="{367348F6-F7E0-4536-896E-945BB01A907D}"/>
                </a:ext>
              </a:extLst>
            </xdr:cNvPr>
            <xdr:cNvPicPr>
              <a:picLocks noChangeAspect="1" noChangeArrowheads="1"/>
              <a:extLst>
                <a:ext uri="{84589F7E-364E-4C9E-8A38-B11213B215E9}">
                  <a14:cameraTool cellRange="'Variance Calculation'!$R$15" spid="_x0000_s30095"/>
                </a:ext>
              </a:extLst>
            </xdr:cNvPicPr>
          </xdr:nvPicPr>
          <xdr:blipFill>
            <a:blip xmlns:r="http://schemas.openxmlformats.org/officeDocument/2006/relationships" r:embed="rId20"/>
            <a:srcRect/>
            <a:stretch>
              <a:fillRect/>
            </a:stretch>
          </xdr:blipFill>
          <xdr:spPr bwMode="auto">
            <a:xfrm>
              <a:off x="7728321" y="4034584"/>
              <a:ext cx="942228" cy="21223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107156</xdr:colOff>
      <xdr:row>2</xdr:row>
      <xdr:rowOff>172641</xdr:rowOff>
    </xdr:from>
    <xdr:to>
      <xdr:col>5</xdr:col>
      <xdr:colOff>130968</xdr:colOff>
      <xdr:row>7</xdr:row>
      <xdr:rowOff>83343</xdr:rowOff>
    </xdr:to>
    <xdr:grpSp>
      <xdr:nvGrpSpPr>
        <xdr:cNvPr id="7" name="Group 6">
          <a:extLst>
            <a:ext uri="{FF2B5EF4-FFF2-40B4-BE49-F238E27FC236}">
              <a16:creationId xmlns:a16="http://schemas.microsoft.com/office/drawing/2014/main" id="{64DEEE67-E81D-467E-908D-FFB58011D192}"/>
            </a:ext>
          </a:extLst>
        </xdr:cNvPr>
        <xdr:cNvGrpSpPr/>
      </xdr:nvGrpSpPr>
      <xdr:grpSpPr>
        <a:xfrm>
          <a:off x="107156" y="325041"/>
          <a:ext cx="2043112" cy="1063227"/>
          <a:chOff x="8655845" y="1041798"/>
          <a:chExt cx="4572000" cy="2743200"/>
        </a:xfrm>
      </xdr:grpSpPr>
      <xdr:graphicFrame macro="">
        <xdr:nvGraphicFramePr>
          <xdr:cNvPr id="56" name="Chart 55">
            <a:extLst>
              <a:ext uri="{FF2B5EF4-FFF2-40B4-BE49-F238E27FC236}">
                <a16:creationId xmlns:a16="http://schemas.microsoft.com/office/drawing/2014/main" id="{78496968-A127-4F23-ADDA-20CA509B673A}"/>
              </a:ext>
            </a:extLst>
          </xdr:cNvPr>
          <xdr:cNvGraphicFramePr>
            <a:graphicFrameLocks/>
          </xdr:cNvGraphicFramePr>
        </xdr:nvGraphicFramePr>
        <xdr:xfrm>
          <a:off x="8655845" y="1041798"/>
          <a:ext cx="4572000" cy="2743200"/>
        </xdr:xfrm>
        <a:graphic>
          <a:graphicData uri="http://schemas.openxmlformats.org/drawingml/2006/chart">
            <c:chart xmlns:c="http://schemas.openxmlformats.org/drawingml/2006/chart" xmlns:r="http://schemas.openxmlformats.org/officeDocument/2006/relationships" r:id="rId21"/>
          </a:graphicData>
        </a:graphic>
      </xdr:graphicFrame>
      <xdr:sp macro="" textlink="'Variance Calculation'!D29">
        <xdr:nvSpPr>
          <xdr:cNvPr id="5" name="TextBox 4">
            <a:extLst>
              <a:ext uri="{FF2B5EF4-FFF2-40B4-BE49-F238E27FC236}">
                <a16:creationId xmlns:a16="http://schemas.microsoft.com/office/drawing/2014/main" id="{AD6CAA5F-40D0-4E35-97F1-50E4BFA333E4}"/>
              </a:ext>
            </a:extLst>
          </xdr:cNvPr>
          <xdr:cNvSpPr txBox="1"/>
        </xdr:nvSpPr>
        <xdr:spPr>
          <a:xfrm>
            <a:off x="10327486" y="2085288"/>
            <a:ext cx="1314446" cy="613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CAE3EB-C280-48F5-B797-EB1EC4D3794C}" type="TxLink">
              <a:rPr lang="en-US" sz="1600" b="1" i="0" u="none" strike="noStrike">
                <a:solidFill>
                  <a:schemeClr val="tx1">
                    <a:lumMod val="50000"/>
                    <a:lumOff val="50000"/>
                  </a:schemeClr>
                </a:solidFill>
                <a:latin typeface="Berlin Sans FB Demi" panose="020E0802020502020306" pitchFamily="34" charset="0"/>
                <a:cs typeface="Segoe UI"/>
              </a:rPr>
              <a:pPr algn="ctr"/>
              <a:t>16%</a:t>
            </a:fld>
            <a:endParaRPr lang="en-US" sz="2400" b="1" i="0">
              <a:solidFill>
                <a:schemeClr val="tx1">
                  <a:lumMod val="50000"/>
                  <a:lumOff val="50000"/>
                </a:schemeClr>
              </a:solidFill>
              <a:latin typeface="Berlin Sans FB Demi" panose="020E0802020502020306" pitchFamily="34" charset="0"/>
            </a:endParaRPr>
          </a:p>
        </xdr:txBody>
      </xdr:sp>
    </xdr:grpSp>
    <xdr:clientData/>
  </xdr:twoCellAnchor>
  <xdr:twoCellAnchor>
    <xdr:from>
      <xdr:col>5</xdr:col>
      <xdr:colOff>5954</xdr:colOff>
      <xdr:row>3</xdr:row>
      <xdr:rowOff>23812</xdr:rowOff>
    </xdr:from>
    <xdr:to>
      <xdr:col>7</xdr:col>
      <xdr:colOff>476251</xdr:colOff>
      <xdr:row>6</xdr:row>
      <xdr:rowOff>35718</xdr:rowOff>
    </xdr:to>
    <xdr:graphicFrame macro="">
      <xdr:nvGraphicFramePr>
        <xdr:cNvPr id="52" name="Chart 51">
          <a:extLst>
            <a:ext uri="{FF2B5EF4-FFF2-40B4-BE49-F238E27FC236}">
              <a16:creationId xmlns:a16="http://schemas.microsoft.com/office/drawing/2014/main" id="{4E291216-2209-4425-827C-6A88F6E77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433243</xdr:colOff>
      <xdr:row>3</xdr:row>
      <xdr:rowOff>297395</xdr:rowOff>
    </xdr:from>
    <xdr:to>
      <xdr:col>7</xdr:col>
      <xdr:colOff>111774</xdr:colOff>
      <xdr:row>5</xdr:row>
      <xdr:rowOff>200906</xdr:rowOff>
    </xdr:to>
    <xdr:sp macro="" textlink="'Variance Calculation'!J29">
      <xdr:nvSpPr>
        <xdr:cNvPr id="53" name="TextBox 52">
          <a:extLst>
            <a:ext uri="{FF2B5EF4-FFF2-40B4-BE49-F238E27FC236}">
              <a16:creationId xmlns:a16="http://schemas.microsoft.com/office/drawing/2014/main" id="{20D26648-E499-4DE5-ABDE-A3ACD37F80D2}"/>
            </a:ext>
          </a:extLst>
        </xdr:cNvPr>
        <xdr:cNvSpPr txBox="1"/>
      </xdr:nvSpPr>
      <xdr:spPr>
        <a:xfrm>
          <a:off x="2496428" y="597947"/>
          <a:ext cx="720293" cy="387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46BE6A-AF04-41DF-A718-16D31570346B}" type="TxLink">
            <a:rPr lang="en-US" sz="1600" b="1" i="0" u="none" strike="noStrike">
              <a:solidFill>
                <a:schemeClr val="tx1">
                  <a:lumMod val="50000"/>
                  <a:lumOff val="50000"/>
                </a:schemeClr>
              </a:solidFill>
              <a:latin typeface="Berlin Sans FB Demi" panose="020E0802020502020306" pitchFamily="34" charset="0"/>
              <a:cs typeface="Segoe UI"/>
            </a:rPr>
            <a:pPr algn="ctr"/>
            <a:t>61%</a:t>
          </a:fld>
          <a:endParaRPr lang="en-US" sz="4800" b="1" i="0">
            <a:solidFill>
              <a:schemeClr val="tx1">
                <a:lumMod val="50000"/>
                <a:lumOff val="50000"/>
              </a:schemeClr>
            </a:solidFill>
            <a:latin typeface="Berlin Sans FB Demi" panose="020E0802020502020306" pitchFamily="34" charset="0"/>
          </a:endParaRPr>
        </a:p>
      </xdr:txBody>
    </xdr:sp>
    <xdr:clientData/>
  </xdr:twoCellAnchor>
  <xdr:twoCellAnchor>
    <xdr:from>
      <xdr:col>12</xdr:col>
      <xdr:colOff>440531</xdr:colOff>
      <xdr:row>2</xdr:row>
      <xdr:rowOff>130971</xdr:rowOff>
    </xdr:from>
    <xdr:to>
      <xdr:col>19</xdr:col>
      <xdr:colOff>345281</xdr:colOff>
      <xdr:row>7</xdr:row>
      <xdr:rowOff>23812</xdr:rowOff>
    </xdr:to>
    <xdr:graphicFrame macro="">
      <xdr:nvGraphicFramePr>
        <xdr:cNvPr id="54" name="Chart 53">
          <a:extLst>
            <a:ext uri="{FF2B5EF4-FFF2-40B4-BE49-F238E27FC236}">
              <a16:creationId xmlns:a16="http://schemas.microsoft.com/office/drawing/2014/main" id="{030CEABD-6645-4ECD-87F3-D23A40160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646498</xdr:colOff>
      <xdr:row>3</xdr:row>
      <xdr:rowOff>226390</xdr:rowOff>
    </xdr:from>
    <xdr:to>
      <xdr:col>16</xdr:col>
      <xdr:colOff>622684</xdr:colOff>
      <xdr:row>5</xdr:row>
      <xdr:rowOff>128736</xdr:rowOff>
    </xdr:to>
    <xdr:sp macro="" textlink="'Variance Calculation'!P29">
      <xdr:nvSpPr>
        <xdr:cNvPr id="55" name="TextBox 54">
          <a:extLst>
            <a:ext uri="{FF2B5EF4-FFF2-40B4-BE49-F238E27FC236}">
              <a16:creationId xmlns:a16="http://schemas.microsoft.com/office/drawing/2014/main" id="{58E62590-3B62-4D71-83C9-79F506D82D08}"/>
            </a:ext>
          </a:extLst>
        </xdr:cNvPr>
        <xdr:cNvSpPr txBox="1"/>
      </xdr:nvSpPr>
      <xdr:spPr>
        <a:xfrm>
          <a:off x="6210655" y="525643"/>
          <a:ext cx="706071" cy="384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12BB34-FFFC-4ED3-8413-8E65CAE2B8C4}" type="TxLink">
            <a:rPr lang="en-US" sz="1600" b="1" i="0" u="none" strike="noStrike">
              <a:solidFill>
                <a:schemeClr val="tx1">
                  <a:lumMod val="50000"/>
                  <a:lumOff val="50000"/>
                </a:schemeClr>
              </a:solidFill>
              <a:latin typeface="Berlin Sans FB Demi" panose="020E0802020502020306" pitchFamily="34" charset="0"/>
              <a:cs typeface="Segoe UI"/>
            </a:rPr>
            <a:pPr algn="ctr"/>
            <a:t>90%</a:t>
          </a:fld>
          <a:endParaRPr lang="en-US" sz="8800" b="1" i="0">
            <a:solidFill>
              <a:schemeClr val="tx1">
                <a:lumMod val="50000"/>
                <a:lumOff val="50000"/>
              </a:schemeClr>
            </a:solidFill>
            <a:latin typeface="Berlin Sans FB Demi" panose="020E0802020502020306" pitchFamily="34" charset="0"/>
          </a:endParaRPr>
        </a:p>
      </xdr:txBody>
    </xdr:sp>
    <xdr:clientData/>
  </xdr:twoCellAnchor>
  <xdr:twoCellAnchor>
    <xdr:from>
      <xdr:col>16</xdr:col>
      <xdr:colOff>154781</xdr:colOff>
      <xdr:row>2</xdr:row>
      <xdr:rowOff>136922</xdr:rowOff>
    </xdr:from>
    <xdr:to>
      <xdr:col>22</xdr:col>
      <xdr:colOff>619124</xdr:colOff>
      <xdr:row>7</xdr:row>
      <xdr:rowOff>29765</xdr:rowOff>
    </xdr:to>
    <xdr:graphicFrame macro="">
      <xdr:nvGraphicFramePr>
        <xdr:cNvPr id="58" name="Chart 57">
          <a:extLst>
            <a:ext uri="{FF2B5EF4-FFF2-40B4-BE49-F238E27FC236}">
              <a16:creationId xmlns:a16="http://schemas.microsoft.com/office/drawing/2014/main" id="{355E4FF5-2718-418D-A6F5-DA2AB09BC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12</xdr:col>
      <xdr:colOff>127292</xdr:colOff>
      <xdr:row>2</xdr:row>
      <xdr:rowOff>163820</xdr:rowOff>
    </xdr:from>
    <xdr:to>
      <xdr:col>12</xdr:col>
      <xdr:colOff>667292</xdr:colOff>
      <xdr:row>4</xdr:row>
      <xdr:rowOff>147500</xdr:rowOff>
    </xdr:to>
    <xdr:pic>
      <xdr:nvPicPr>
        <xdr:cNvPr id="59" name="Graphic 58" descr="Woman">
          <a:extLst>
            <a:ext uri="{FF2B5EF4-FFF2-40B4-BE49-F238E27FC236}">
              <a16:creationId xmlns:a16="http://schemas.microsoft.com/office/drawing/2014/main" id="{54E9D4FA-774A-4D1E-B12C-9CAD3A177CC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673892" y="248487"/>
          <a:ext cx="540000" cy="508614"/>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307067</xdr:colOff>
      <xdr:row>2</xdr:row>
      <xdr:rowOff>151097</xdr:rowOff>
    </xdr:from>
    <xdr:to>
      <xdr:col>12</xdr:col>
      <xdr:colOff>116817</xdr:colOff>
      <xdr:row>4</xdr:row>
      <xdr:rowOff>152554</xdr:rowOff>
    </xdr:to>
    <xdr:pic>
      <xdr:nvPicPr>
        <xdr:cNvPr id="60" name="Graphic 59" descr="Man">
          <a:extLst>
            <a:ext uri="{FF2B5EF4-FFF2-40B4-BE49-F238E27FC236}">
              <a16:creationId xmlns:a16="http://schemas.microsoft.com/office/drawing/2014/main" id="{A09C60B0-6C88-4660-838D-C15FDF7676C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4117067" y="230472"/>
          <a:ext cx="540000" cy="517396"/>
        </a:xfrm>
        <a:prstGeom prst="rect">
          <a:avLst/>
        </a:prstGeom>
        <a:effectLst>
          <a:outerShdw blurRad="63500" sx="102000" sy="102000" algn="ctr" rotWithShape="0">
            <a:prstClr val="black">
              <a:alpha val="40000"/>
            </a:prstClr>
          </a:outerShdw>
        </a:effectLst>
      </xdr:spPr>
    </xdr:pic>
    <xdr:clientData/>
  </xdr:twoCellAnchor>
  <xdr:twoCellAnchor>
    <xdr:from>
      <xdr:col>1</xdr:col>
      <xdr:colOff>141709</xdr:colOff>
      <xdr:row>21</xdr:row>
      <xdr:rowOff>231312</xdr:rowOff>
    </xdr:from>
    <xdr:to>
      <xdr:col>2</xdr:col>
      <xdr:colOff>794852</xdr:colOff>
      <xdr:row>23</xdr:row>
      <xdr:rowOff>48230</xdr:rowOff>
    </xdr:to>
    <xdr:graphicFrame macro="">
      <xdr:nvGraphicFramePr>
        <xdr:cNvPr id="4" name="TinyChart6">
          <a:extLst>
            <a:ext uri="{FF2B5EF4-FFF2-40B4-BE49-F238E27FC236}">
              <a16:creationId xmlns:a16="http://schemas.microsoft.com/office/drawing/2014/main" id="{07E927D2-CB9B-4FA3-96A5-D9F3D7B97E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314745</xdr:colOff>
      <xdr:row>23</xdr:row>
      <xdr:rowOff>85726</xdr:rowOff>
    </xdr:from>
    <xdr:to>
      <xdr:col>2</xdr:col>
      <xdr:colOff>684916</xdr:colOff>
      <xdr:row>24</xdr:row>
      <xdr:rowOff>2382</xdr:rowOff>
    </xdr:to>
    <xdr:sp macro="" textlink="">
      <xdr:nvSpPr>
        <xdr:cNvPr id="8" name="TextBox 7">
          <a:extLst>
            <a:ext uri="{FF2B5EF4-FFF2-40B4-BE49-F238E27FC236}">
              <a16:creationId xmlns:a16="http://schemas.microsoft.com/office/drawing/2014/main" id="{F8728DCF-554B-4097-9A22-EB9C51051C69}"/>
            </a:ext>
          </a:extLst>
        </xdr:cNvPr>
        <xdr:cNvSpPr txBox="1"/>
      </xdr:nvSpPr>
      <xdr:spPr>
        <a:xfrm>
          <a:off x="591157" y="5501902"/>
          <a:ext cx="1102288" cy="222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mc:AlternateContent xmlns:mc="http://schemas.openxmlformats.org/markup-compatibility/2006">
    <mc:Choice xmlns:a14="http://schemas.microsoft.com/office/drawing/2010/main" Requires="a14">
      <xdr:oneCellAnchor>
        <xdr:from>
          <xdr:col>1</xdr:col>
          <xdr:colOff>93383</xdr:colOff>
          <xdr:row>22</xdr:row>
          <xdr:rowOff>246996</xdr:rowOff>
        </xdr:from>
        <xdr:ext cx="938389" cy="190500"/>
        <xdr:pic>
          <xdr:nvPicPr>
            <xdr:cNvPr id="9" name="Picture 8">
              <a:extLst>
                <a:ext uri="{FF2B5EF4-FFF2-40B4-BE49-F238E27FC236}">
                  <a16:creationId xmlns:a16="http://schemas.microsoft.com/office/drawing/2014/main" id="{40CBAB64-67EA-4F97-8961-FEA35A67CEFE}"/>
                </a:ext>
              </a:extLst>
            </xdr:cNvPr>
            <xdr:cNvPicPr>
              <a:picLocks noChangeAspect="1" noChangeArrowheads="1"/>
              <a:extLst>
                <a:ext uri="{84589F7E-364E-4C9E-8A38-B11213B215E9}">
                  <a14:cameraTool cellRange="'Variance Calculation'!$R$16" spid="_x0000_s30096"/>
                </a:ext>
              </a:extLst>
            </xdr:cNvPicPr>
          </xdr:nvPicPr>
          <xdr:blipFill>
            <a:blip xmlns:r="http://schemas.openxmlformats.org/officeDocument/2006/relationships" r:embed="rId30"/>
            <a:srcRect/>
            <a:stretch>
              <a:fillRect/>
            </a:stretch>
          </xdr:blipFill>
          <xdr:spPr bwMode="auto">
            <a:xfrm>
              <a:off x="369795" y="5356878"/>
              <a:ext cx="938389" cy="190500"/>
            </a:xfrm>
            <a:prstGeom prst="rect">
              <a:avLst/>
            </a:prstGeom>
            <a:noFill/>
            <a:extLst>
              <a:ext uri="{909E8E84-426E-40DD-AFC4-6F175D3DCCD1}">
                <a14:hiddenFill>
                  <a:solidFill>
                    <a:srgbClr val="FFFFFF"/>
                  </a:solidFill>
                </a14:hiddenFill>
              </a:ext>
            </a:extLst>
          </xdr:spPr>
        </xdr:pic>
        <xdr:clientData/>
      </xdr:oneCellAnchor>
    </mc:Choice>
    <mc:Fallback/>
  </mc:AlternateContent>
  <xdr:twoCellAnchor>
    <xdr:from>
      <xdr:col>5</xdr:col>
      <xdr:colOff>306061</xdr:colOff>
      <xdr:row>21</xdr:row>
      <xdr:rowOff>231312</xdr:rowOff>
    </xdr:from>
    <xdr:to>
      <xdr:col>7</xdr:col>
      <xdr:colOff>239039</xdr:colOff>
      <xdr:row>23</xdr:row>
      <xdr:rowOff>48230</xdr:rowOff>
    </xdr:to>
    <xdr:graphicFrame macro="">
      <xdr:nvGraphicFramePr>
        <xdr:cNvPr id="11" name="TinyChart6">
          <a:extLst>
            <a:ext uri="{FF2B5EF4-FFF2-40B4-BE49-F238E27FC236}">
              <a16:creationId xmlns:a16="http://schemas.microsoft.com/office/drawing/2014/main" id="{8C96EE6D-5A56-4896-BD17-7F547CA0B6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xdr:col>
      <xdr:colOff>284863</xdr:colOff>
      <xdr:row>23</xdr:row>
      <xdr:rowOff>85726</xdr:rowOff>
    </xdr:from>
    <xdr:to>
      <xdr:col>7</xdr:col>
      <xdr:colOff>381000</xdr:colOff>
      <xdr:row>24</xdr:row>
      <xdr:rowOff>29882</xdr:rowOff>
    </xdr:to>
    <xdr:sp macro="" textlink="">
      <xdr:nvSpPr>
        <xdr:cNvPr id="13" name="TextBox 12">
          <a:extLst>
            <a:ext uri="{FF2B5EF4-FFF2-40B4-BE49-F238E27FC236}">
              <a16:creationId xmlns:a16="http://schemas.microsoft.com/office/drawing/2014/main" id="{080A3A09-BFD7-41F3-A578-CB4F67232062}"/>
            </a:ext>
          </a:extLst>
        </xdr:cNvPr>
        <xdr:cNvSpPr txBox="1"/>
      </xdr:nvSpPr>
      <xdr:spPr>
        <a:xfrm>
          <a:off x="2346745" y="5501902"/>
          <a:ext cx="1142020" cy="250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bg1">
                  <a:lumMod val="50000"/>
                </a:schemeClr>
              </a:solidFill>
              <a:latin typeface="Segoe UI" panose="020B0502040204020203" pitchFamily="34" charset="0"/>
              <a:cs typeface="Segoe UI" panose="020B0502040204020203" pitchFamily="34" charset="0"/>
            </a:rPr>
            <a:t>vs. previous month</a:t>
          </a:r>
        </a:p>
      </xdr:txBody>
    </xdr:sp>
    <xdr:clientData/>
  </xdr:twoCellAnchor>
  <mc:AlternateContent xmlns:mc="http://schemas.openxmlformats.org/markup-compatibility/2006">
    <mc:Choice xmlns:a14="http://schemas.microsoft.com/office/drawing/2010/main" Requires="a14">
      <xdr:oneCellAnchor>
        <xdr:from>
          <xdr:col>5</xdr:col>
          <xdr:colOff>69104</xdr:colOff>
          <xdr:row>22</xdr:row>
          <xdr:rowOff>239525</xdr:rowOff>
        </xdr:from>
        <xdr:ext cx="938389" cy="190500"/>
        <xdr:pic>
          <xdr:nvPicPr>
            <xdr:cNvPr id="15" name="Picture 14">
              <a:extLst>
                <a:ext uri="{FF2B5EF4-FFF2-40B4-BE49-F238E27FC236}">
                  <a16:creationId xmlns:a16="http://schemas.microsoft.com/office/drawing/2014/main" id="{5726E055-E6DD-4535-9B2A-7078AE4ABB37}"/>
                </a:ext>
              </a:extLst>
            </xdr:cNvPr>
            <xdr:cNvPicPr>
              <a:picLocks noChangeAspect="1" noChangeArrowheads="1"/>
              <a:extLst>
                <a:ext uri="{84589F7E-364E-4C9E-8A38-B11213B215E9}">
                  <a14:cameraTool cellRange="'Variance Calculation'!$R$17" spid="_x0000_s30097"/>
                </a:ext>
              </a:extLst>
            </xdr:cNvPicPr>
          </xdr:nvPicPr>
          <xdr:blipFill>
            <a:blip xmlns:r="http://schemas.openxmlformats.org/officeDocument/2006/relationships" r:embed="rId32"/>
            <a:srcRect/>
            <a:stretch>
              <a:fillRect/>
            </a:stretch>
          </xdr:blipFill>
          <xdr:spPr bwMode="auto">
            <a:xfrm>
              <a:off x="2130986" y="5349407"/>
              <a:ext cx="938389" cy="190500"/>
            </a:xfrm>
            <a:prstGeom prst="rect">
              <a:avLst/>
            </a:prstGeom>
            <a:noFill/>
            <a:ln>
              <a:noFill/>
            </a:ln>
            <a:extLst>
              <a:ext uri="{909E8E84-426E-40DD-AFC4-6F175D3DCCD1}">
                <a14:hiddenFill>
                  <a:solidFill>
                    <a:srgbClr val="FFFFFF"/>
                  </a:solidFill>
                </a14:hiddenFill>
              </a:ext>
            </a:extLst>
          </xdr:spPr>
        </xdr:pic>
        <xdr:clientData/>
      </xdr:oneCellAnchor>
    </mc:Choice>
    <mc:Fallback/>
  </mc:AlternateContent>
</xdr:wsDr>
</file>

<file path=xl/drawings/drawing2.xml><?xml version="1.0" encoding="utf-8"?>
<c:userShapes xmlns:c="http://schemas.openxmlformats.org/drawingml/2006/chart">
  <cdr:relSizeAnchor xmlns:cdr="http://schemas.openxmlformats.org/drawingml/2006/chartDrawing">
    <cdr:from>
      <cdr:x>0.53465</cdr:x>
      <cdr:y>0.43458</cdr:y>
    </cdr:from>
    <cdr:to>
      <cdr:x>0.59837</cdr:x>
      <cdr:y>0.5664</cdr:y>
    </cdr:to>
    <cdr:pic>
      <cdr:nvPicPr>
        <cdr:cNvPr id="3" name="Graphic 74" descr="Man">
          <a:extLst xmlns:a="http://schemas.openxmlformats.org/drawingml/2006/main">
            <a:ext uri="{FF2B5EF4-FFF2-40B4-BE49-F238E27FC236}">
              <a16:creationId xmlns:a16="http://schemas.microsoft.com/office/drawing/2014/main" id="{7931C03A-154E-4392-BBB3-FBEC8B19DF7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322540" y="458233"/>
          <a:ext cx="276802" cy="138995"/>
        </a:xfrm>
        <a:prstGeom xmlns:a="http://schemas.openxmlformats.org/drawingml/2006/main" prst="rect">
          <a:avLst/>
        </a:prstGeom>
      </cdr:spPr>
    </cdr:pic>
  </cdr:relSizeAnchor>
  <cdr:relSizeAnchor xmlns:cdr="http://schemas.openxmlformats.org/drawingml/2006/chartDrawing">
    <cdr:from>
      <cdr:x>0.40573</cdr:x>
      <cdr:y>0.43679</cdr:y>
    </cdr:from>
    <cdr:to>
      <cdr:x>0.46785</cdr:x>
      <cdr:y>0.56536</cdr:y>
    </cdr:to>
    <cdr:pic>
      <cdr:nvPicPr>
        <cdr:cNvPr id="4" name="Graphic 79" descr="Woman">
          <a:extLst xmlns:a="http://schemas.openxmlformats.org/drawingml/2006/main">
            <a:ext uri="{FF2B5EF4-FFF2-40B4-BE49-F238E27FC236}">
              <a16:creationId xmlns:a16="http://schemas.microsoft.com/office/drawing/2014/main" id="{0C5E652E-A3C6-4D50-93AE-9F60AD3A7F3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762507" y="460564"/>
          <a:ext cx="269851" cy="135567"/>
        </a:xfrm>
        <a:prstGeom xmlns:a="http://schemas.openxmlformats.org/drawingml/2006/main" prst="rect">
          <a:avLst/>
        </a:prstGeom>
      </cdr:spPr>
    </cdr:pic>
  </cdr:relSizeAnchor>
  <cdr:relSizeAnchor xmlns:cdr="http://schemas.openxmlformats.org/drawingml/2006/chartDrawing">
    <cdr:from>
      <cdr:x>0.41842</cdr:x>
      <cdr:y>0.41139</cdr:y>
    </cdr:from>
    <cdr:to>
      <cdr:x>0.5876</cdr:x>
      <cdr:y>0.5752</cdr:y>
    </cdr:to>
    <cdr:sp macro="" textlink="'Variance Calculation'!$T$24">
      <cdr:nvSpPr>
        <cdr:cNvPr id="5" name="TextBox 93">
          <a:extLst xmlns:a="http://schemas.openxmlformats.org/drawingml/2006/main">
            <a:ext uri="{FF2B5EF4-FFF2-40B4-BE49-F238E27FC236}">
              <a16:creationId xmlns:a16="http://schemas.microsoft.com/office/drawing/2014/main" id="{4E84C76A-DA6F-4FCD-BD9D-5146D1EA0386}"/>
            </a:ext>
          </a:extLst>
        </cdr:cNvPr>
        <cdr:cNvSpPr txBox="1"/>
      </cdr:nvSpPr>
      <cdr:spPr>
        <a:xfrm xmlns:a="http://schemas.openxmlformats.org/drawingml/2006/main">
          <a:off x="1817632" y="433781"/>
          <a:ext cx="734925" cy="17272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F8D35CE-2616-4309-BFB7-F0A086F89FA5}" type="TxLink">
            <a:rPr lang="en-US" sz="1600" b="1" i="0" u="none" strike="noStrike">
              <a:solidFill>
                <a:schemeClr val="tx1">
                  <a:lumMod val="50000"/>
                  <a:lumOff val="50000"/>
                </a:schemeClr>
              </a:solidFill>
              <a:latin typeface="Berlin Sans FB Demi" panose="020E0802020502020306" pitchFamily="34" charset="0"/>
              <a:cs typeface="Calibri"/>
            </a:rPr>
            <a:pPr algn="ctr"/>
            <a:t>35</a:t>
          </a:fld>
          <a:endParaRPr lang="en-US" sz="7200" b="1" i="0">
            <a:solidFill>
              <a:schemeClr val="tx1">
                <a:lumMod val="50000"/>
                <a:lumOff val="50000"/>
              </a:schemeClr>
            </a:solidFill>
            <a:latin typeface="Berlin Sans FB Demi" panose="020E0802020502020306" pitchFamily="34" charset="0"/>
            <a:cs typeface="Segoe UI" panose="020B0502040204020203"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7</xdr:col>
      <xdr:colOff>411480</xdr:colOff>
      <xdr:row>4</xdr:row>
      <xdr:rowOff>179070</xdr:rowOff>
    </xdr:from>
    <xdr:to>
      <xdr:col>15</xdr:col>
      <xdr:colOff>106680</xdr:colOff>
      <xdr:row>17</xdr:row>
      <xdr:rowOff>125730</xdr:rowOff>
    </xdr:to>
    <xdr:graphicFrame macro="">
      <xdr:nvGraphicFramePr>
        <xdr:cNvPr id="2" name="Chart 1">
          <a:extLst>
            <a:ext uri="{FF2B5EF4-FFF2-40B4-BE49-F238E27FC236}">
              <a16:creationId xmlns:a16="http://schemas.microsoft.com/office/drawing/2014/main" id="{CC8F984D-EE02-802C-8F69-74107E4189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173691</xdr:colOff>
      <xdr:row>16</xdr:row>
      <xdr:rowOff>101974</xdr:rowOff>
    </xdr:from>
    <xdr:to>
      <xdr:col>24</xdr:col>
      <xdr:colOff>571499</xdr:colOff>
      <xdr:row>27</xdr:row>
      <xdr:rowOff>112059</xdr:rowOff>
    </xdr:to>
    <xdr:graphicFrame macro="">
      <xdr:nvGraphicFramePr>
        <xdr:cNvPr id="2" name="Chart 1">
          <a:extLst>
            <a:ext uri="{FF2B5EF4-FFF2-40B4-BE49-F238E27FC236}">
              <a16:creationId xmlns:a16="http://schemas.microsoft.com/office/drawing/2014/main" id="{9C1CEB04-ED50-45A8-BF3C-2497332B60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280146</xdr:colOff>
      <xdr:row>21</xdr:row>
      <xdr:rowOff>22411</xdr:rowOff>
    </xdr:from>
    <xdr:to>
      <xdr:col>15</xdr:col>
      <xdr:colOff>319367</xdr:colOff>
      <xdr:row>22</xdr:row>
      <xdr:rowOff>100853</xdr:rowOff>
    </xdr:to>
    <xdr:sp macro="" textlink="$D$24">
      <xdr:nvSpPr>
        <xdr:cNvPr id="3" name="TextBox 2">
          <a:extLst>
            <a:ext uri="{FF2B5EF4-FFF2-40B4-BE49-F238E27FC236}">
              <a16:creationId xmlns:a16="http://schemas.microsoft.com/office/drawing/2014/main" id="{F6EBE6BA-3CAC-42F2-80E6-F99824467028}"/>
            </a:ext>
          </a:extLst>
        </xdr:cNvPr>
        <xdr:cNvSpPr txBox="1"/>
      </xdr:nvSpPr>
      <xdr:spPr>
        <a:xfrm>
          <a:off x="5838264" y="3759573"/>
          <a:ext cx="745191" cy="268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116E10-E316-4EA5-B23F-FEDD0753A725}" type="TxLink">
            <a:rPr lang="en-US" sz="1800" b="1" i="1" u="none" strike="noStrike">
              <a:solidFill>
                <a:srgbClr val="595959"/>
              </a:solidFill>
              <a:latin typeface="Segoe UI"/>
              <a:cs typeface="Segoe UI"/>
            </a:rPr>
            <a:pPr algn="ctr"/>
            <a:t>16%</a:t>
          </a:fld>
          <a:endParaRPr lang="en-US" sz="28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79998168889431442"/>
  </sheetPr>
  <dimension ref="B1:X20"/>
  <sheetViews>
    <sheetView showGridLines="0" zoomScale="90" zoomScaleNormal="100" workbookViewId="0">
      <pane xSplit="4" ySplit="2" topLeftCell="E16" activePane="bottomRight" state="frozen"/>
      <selection pane="topRight" activeCell="E1" sqref="E1"/>
      <selection pane="bottomLeft" activeCell="A3" sqref="A3"/>
      <selection pane="bottomRight" activeCell="E20" sqref="E20"/>
    </sheetView>
  </sheetViews>
  <sheetFormatPr defaultColWidth="11.44140625" defaultRowHeight="14.4" x14ac:dyDescent="0.3"/>
  <cols>
    <col min="1" max="1" width="2" style="1" customWidth="1"/>
    <col min="2" max="2" width="8.21875" style="2" bestFit="1" customWidth="1"/>
    <col min="3" max="3" width="35.21875" style="1" bestFit="1" customWidth="1"/>
    <col min="4" max="4" width="39" style="1" customWidth="1"/>
    <col min="5" max="7" width="12.6640625" style="3" bestFit="1" customWidth="1"/>
    <col min="8" max="9" width="13.6640625" style="3" bestFit="1" customWidth="1"/>
    <col min="10" max="10" width="12.6640625" style="3" bestFit="1" customWidth="1"/>
    <col min="11" max="11" width="13.6640625" style="3" bestFit="1" customWidth="1"/>
    <col min="12" max="13" width="12.6640625" style="3" bestFit="1" customWidth="1"/>
    <col min="14" max="16" width="13.6640625" style="3" bestFit="1" customWidth="1"/>
    <col min="17" max="17" width="14.77734375" style="36" hidden="1" customWidth="1"/>
    <col min="18" max="18" width="6.21875" style="1" customWidth="1"/>
    <col min="19" max="19" width="6.88671875" style="4" hidden="1" customWidth="1"/>
    <col min="20" max="16384" width="11.44140625" style="1"/>
  </cols>
  <sheetData>
    <row r="1" spans="2:24" ht="24" customHeight="1" thickBot="1" x14ac:dyDescent="0.35">
      <c r="B1" s="64"/>
      <c r="C1" s="64"/>
      <c r="D1" s="41"/>
      <c r="E1" s="42"/>
      <c r="F1" s="42"/>
      <c r="G1" s="42"/>
      <c r="H1" s="42"/>
      <c r="I1" s="42"/>
      <c r="J1" s="42"/>
      <c r="K1" s="42"/>
      <c r="L1" s="42"/>
      <c r="M1" s="42"/>
      <c r="N1" s="42"/>
      <c r="O1" s="42"/>
      <c r="P1" s="42"/>
      <c r="Q1" s="43" t="s">
        <v>21</v>
      </c>
      <c r="S1" s="35" t="str">
        <f>'Dashboard - HR Metrics'!X3</f>
        <v>Aug</v>
      </c>
    </row>
    <row r="2" spans="2:24" ht="19.5" customHeight="1" thickBot="1" x14ac:dyDescent="0.35">
      <c r="B2" s="189" t="s">
        <v>40</v>
      </c>
      <c r="C2" s="190" t="s">
        <v>23</v>
      </c>
      <c r="D2" s="191" t="s">
        <v>69</v>
      </c>
      <c r="E2" s="189" t="s">
        <v>0</v>
      </c>
      <c r="F2" s="189" t="s">
        <v>1</v>
      </c>
      <c r="G2" s="189" t="s">
        <v>2</v>
      </c>
      <c r="H2" s="189" t="s">
        <v>5</v>
      </c>
      <c r="I2" s="189" t="s">
        <v>9</v>
      </c>
      <c r="J2" s="189" t="s">
        <v>6</v>
      </c>
      <c r="K2" s="189" t="s">
        <v>7</v>
      </c>
      <c r="L2" s="189" t="s">
        <v>8</v>
      </c>
      <c r="M2" s="189" t="s">
        <v>10</v>
      </c>
      <c r="N2" s="189" t="s">
        <v>11</v>
      </c>
      <c r="O2" s="189" t="s">
        <v>12</v>
      </c>
      <c r="P2" s="192" t="s">
        <v>13</v>
      </c>
      <c r="Q2" s="44" t="s">
        <v>22</v>
      </c>
      <c r="R2" s="31"/>
      <c r="S2" s="37"/>
      <c r="T2" s="4"/>
      <c r="U2" s="4"/>
      <c r="V2" s="4"/>
      <c r="W2" s="4"/>
      <c r="X2" s="4"/>
    </row>
    <row r="3" spans="2:24" ht="49.95" customHeight="1" x14ac:dyDescent="0.3">
      <c r="B3" s="45">
        <v>1</v>
      </c>
      <c r="C3" s="63" t="s">
        <v>41</v>
      </c>
      <c r="D3" s="60" t="s">
        <v>42</v>
      </c>
      <c r="E3" s="127">
        <v>8000</v>
      </c>
      <c r="F3" s="127">
        <v>5000</v>
      </c>
      <c r="G3" s="127">
        <v>4500</v>
      </c>
      <c r="H3" s="127">
        <v>10000</v>
      </c>
      <c r="I3" s="127">
        <v>12000</v>
      </c>
      <c r="J3" s="127">
        <v>4000</v>
      </c>
      <c r="K3" s="127">
        <v>6000</v>
      </c>
      <c r="L3" s="127">
        <v>4000</v>
      </c>
      <c r="M3" s="127">
        <v>3498</v>
      </c>
      <c r="N3" s="127">
        <v>8000</v>
      </c>
      <c r="O3" s="127">
        <v>7500</v>
      </c>
      <c r="P3" s="127">
        <v>9654</v>
      </c>
      <c r="Q3" s="161">
        <f t="shared" ref="Q3:Q20" si="0">IF($E$2=$S$1,E3,IF($F$2=$S$1,F3,IF($G$2=$S$1,G3,IF($H$2=$S$1,H3,IF($I$2=$S$1,I3,IF($J$2=$S$1,J3,IF($K$2=$S$1,K3,IF($L$2=$S$1,L3,IF($M$2=$S$1,M3,IF($N$2=$S$1,N3,IF($O$2=$S$1,O3,P3)))))))))))</f>
        <v>4000</v>
      </c>
      <c r="R3" s="32"/>
      <c r="S3" s="145">
        <f t="shared" ref="S3:S20" si="1">IFERROR(IF($S$1=$E$2,0,IF($S$1=$F$2,F3/E3-1,IF($S$1=$G$2,G3/F3-1,IF($S$1=$H$2,H3/G3-1,IF($S$1=$I$2,I3/H3-1,IF($S$1=$J$2,J3/I3-1,IF($S$1=$K$2,K3/J3-1,IF($S$1=$L$2,L3/K3-1,IF($S$1=$M$2,M3/L3-1,IF($S$1=$N$2,N3/M3-1,IF($S$1=$O$2,O3/N3-1,IF($S$1=$P$2,P3/O3-1,"")))))))))))),0)</f>
        <v>-0.33333333333333337</v>
      </c>
      <c r="T3" s="9"/>
      <c r="U3" s="4"/>
      <c r="V3" s="4"/>
      <c r="W3" s="4"/>
      <c r="X3" s="4"/>
    </row>
    <row r="4" spans="2:24" ht="49.95" customHeight="1" x14ac:dyDescent="0.3">
      <c r="B4" s="50">
        <v>2</v>
      </c>
      <c r="C4" s="63" t="s">
        <v>53</v>
      </c>
      <c r="D4" s="62" t="s">
        <v>61</v>
      </c>
      <c r="E4" s="67">
        <v>25</v>
      </c>
      <c r="F4" s="67">
        <v>20</v>
      </c>
      <c r="G4" s="67">
        <v>25</v>
      </c>
      <c r="H4" s="67">
        <v>20</v>
      </c>
      <c r="I4" s="67">
        <v>22</v>
      </c>
      <c r="J4" s="67">
        <v>21</v>
      </c>
      <c r="K4" s="67">
        <v>24</v>
      </c>
      <c r="L4" s="67">
        <v>19</v>
      </c>
      <c r="M4" s="67">
        <v>17</v>
      </c>
      <c r="N4" s="67">
        <v>18</v>
      </c>
      <c r="O4" s="67">
        <v>15</v>
      </c>
      <c r="P4" s="67">
        <v>5</v>
      </c>
      <c r="Q4" s="52">
        <f t="shared" si="0"/>
        <v>19</v>
      </c>
      <c r="R4" s="33"/>
      <c r="S4" s="145">
        <f t="shared" si="1"/>
        <v>-0.20833333333333337</v>
      </c>
      <c r="U4" s="4"/>
      <c r="V4" s="4"/>
      <c r="W4" s="4"/>
      <c r="X4" s="4"/>
    </row>
    <row r="5" spans="2:24" ht="86.4" x14ac:dyDescent="0.3">
      <c r="B5" s="50">
        <v>3</v>
      </c>
      <c r="C5" s="63" t="s">
        <v>67</v>
      </c>
      <c r="D5" s="60" t="s">
        <v>68</v>
      </c>
      <c r="E5" s="67">
        <v>5</v>
      </c>
      <c r="F5" s="67">
        <v>5</v>
      </c>
      <c r="G5" s="67">
        <v>4</v>
      </c>
      <c r="H5" s="67">
        <v>7</v>
      </c>
      <c r="I5" s="67">
        <v>3</v>
      </c>
      <c r="J5" s="67">
        <v>8</v>
      </c>
      <c r="K5" s="67">
        <v>1</v>
      </c>
      <c r="L5" s="67">
        <v>9</v>
      </c>
      <c r="M5" s="67">
        <v>8</v>
      </c>
      <c r="N5" s="67">
        <v>7</v>
      </c>
      <c r="O5" s="67">
        <v>7</v>
      </c>
      <c r="P5" s="67">
        <v>8</v>
      </c>
      <c r="Q5" s="143">
        <f t="shared" si="0"/>
        <v>9</v>
      </c>
      <c r="R5" s="34"/>
      <c r="S5" s="145">
        <f t="shared" si="1"/>
        <v>8</v>
      </c>
      <c r="U5" s="4"/>
      <c r="V5" s="4"/>
      <c r="W5" s="4"/>
      <c r="X5" s="4"/>
    </row>
    <row r="6" spans="2:24" ht="57.6" x14ac:dyDescent="0.3">
      <c r="B6" s="45">
        <v>4</v>
      </c>
      <c r="C6" s="144" t="s">
        <v>56</v>
      </c>
      <c r="D6" s="60" t="s">
        <v>62</v>
      </c>
      <c r="E6" s="53">
        <v>0.9</v>
      </c>
      <c r="F6" s="53">
        <v>0.95</v>
      </c>
      <c r="G6" s="53">
        <v>0.99</v>
      </c>
      <c r="H6" s="53">
        <v>0.98</v>
      </c>
      <c r="I6" s="53">
        <v>0.96</v>
      </c>
      <c r="J6" s="53">
        <v>0.93</v>
      </c>
      <c r="K6" s="53">
        <v>0.92</v>
      </c>
      <c r="L6" s="53">
        <v>0.95</v>
      </c>
      <c r="M6" s="53">
        <v>0.98</v>
      </c>
      <c r="N6" s="53">
        <v>0.99</v>
      </c>
      <c r="O6" s="53">
        <v>0.95</v>
      </c>
      <c r="P6" s="53">
        <v>0.99</v>
      </c>
      <c r="Q6" s="49">
        <f t="shared" si="0"/>
        <v>0.95</v>
      </c>
      <c r="R6" s="34"/>
      <c r="S6" s="38">
        <f t="shared" si="1"/>
        <v>3.2608695652173836E-2</v>
      </c>
      <c r="U6" s="4"/>
      <c r="V6" s="4"/>
      <c r="W6" s="4"/>
      <c r="X6" s="4"/>
    </row>
    <row r="7" spans="2:24" ht="49.95" customHeight="1" x14ac:dyDescent="0.3">
      <c r="B7" s="50">
        <v>5</v>
      </c>
      <c r="C7" s="63" t="s">
        <v>57</v>
      </c>
      <c r="D7" s="60" t="s">
        <v>44</v>
      </c>
      <c r="E7" s="53">
        <v>0.02</v>
      </c>
      <c r="F7" s="53">
        <v>0.17</v>
      </c>
      <c r="G7" s="53">
        <v>0.08</v>
      </c>
      <c r="H7" s="53">
        <v>0.05</v>
      </c>
      <c r="I7" s="53">
        <v>0.04</v>
      </c>
      <c r="J7" s="53">
        <v>0.05</v>
      </c>
      <c r="K7" s="53">
        <v>0.01</v>
      </c>
      <c r="L7" s="53">
        <v>0.09</v>
      </c>
      <c r="M7" s="53">
        <v>0.1</v>
      </c>
      <c r="N7" s="53">
        <v>0.02</v>
      </c>
      <c r="O7" s="53">
        <v>0.06</v>
      </c>
      <c r="P7" s="53">
        <v>7.0000000000000007E-2</v>
      </c>
      <c r="Q7" s="49">
        <f t="shared" si="0"/>
        <v>0.09</v>
      </c>
      <c r="R7" s="34"/>
      <c r="S7" s="38">
        <f t="shared" si="1"/>
        <v>8</v>
      </c>
      <c r="U7" s="4"/>
      <c r="V7" s="4"/>
      <c r="W7" s="4"/>
      <c r="X7" s="4"/>
    </row>
    <row r="8" spans="2:24" ht="49.95" customHeight="1" x14ac:dyDescent="0.3">
      <c r="B8" s="50">
        <v>6</v>
      </c>
      <c r="C8" s="63" t="s">
        <v>58</v>
      </c>
      <c r="D8" s="60" t="s">
        <v>43</v>
      </c>
      <c r="E8" s="47">
        <v>0.5</v>
      </c>
      <c r="F8" s="47">
        <v>0.45</v>
      </c>
      <c r="G8" s="47">
        <v>0.44</v>
      </c>
      <c r="H8" s="47">
        <v>0.47</v>
      </c>
      <c r="I8" s="47">
        <v>0.46</v>
      </c>
      <c r="J8" s="47">
        <v>0.44</v>
      </c>
      <c r="K8" s="47">
        <v>0.45</v>
      </c>
      <c r="L8" s="47">
        <v>0.46</v>
      </c>
      <c r="M8" s="47">
        <v>0.47</v>
      </c>
      <c r="N8" s="47">
        <v>0.49</v>
      </c>
      <c r="O8" s="47">
        <v>0.52</v>
      </c>
      <c r="P8" s="47">
        <v>0.53</v>
      </c>
      <c r="Q8" s="49">
        <f t="shared" si="0"/>
        <v>0.46</v>
      </c>
      <c r="R8" s="32"/>
      <c r="S8" s="38">
        <f t="shared" si="1"/>
        <v>2.2222222222222143E-2</v>
      </c>
      <c r="U8" s="4"/>
      <c r="V8" s="4"/>
      <c r="W8" s="4"/>
      <c r="X8" s="4"/>
    </row>
    <row r="9" spans="2:24" ht="49.95" customHeight="1" x14ac:dyDescent="0.3">
      <c r="B9" s="45">
        <v>7</v>
      </c>
      <c r="C9" s="63" t="s">
        <v>59</v>
      </c>
      <c r="D9" s="60" t="s">
        <v>45</v>
      </c>
      <c r="E9" s="53">
        <v>0.08</v>
      </c>
      <c r="F9" s="53">
        <v>0.06</v>
      </c>
      <c r="G9" s="53">
        <v>0.08</v>
      </c>
      <c r="H9" s="53">
        <v>0.1</v>
      </c>
      <c r="I9" s="53">
        <v>0.04</v>
      </c>
      <c r="J9" s="53">
        <v>7.0000000000000007E-2</v>
      </c>
      <c r="K9" s="53">
        <v>0.02</v>
      </c>
      <c r="L9" s="53">
        <v>0.08</v>
      </c>
      <c r="M9" s="53">
        <v>0.01</v>
      </c>
      <c r="N9" s="53">
        <v>7.0000000000000007E-2</v>
      </c>
      <c r="O9" s="53">
        <v>0.1</v>
      </c>
      <c r="P9" s="53">
        <v>0.01</v>
      </c>
      <c r="Q9" s="49">
        <f t="shared" si="0"/>
        <v>0.08</v>
      </c>
      <c r="R9" s="34"/>
      <c r="S9" s="38">
        <f t="shared" si="1"/>
        <v>3</v>
      </c>
    </row>
    <row r="10" spans="2:24" ht="49.95" customHeight="1" x14ac:dyDescent="0.3">
      <c r="B10" s="50">
        <v>8</v>
      </c>
      <c r="C10" s="46" t="s">
        <v>46</v>
      </c>
      <c r="D10" s="60" t="s">
        <v>63</v>
      </c>
      <c r="E10" s="146">
        <v>8000</v>
      </c>
      <c r="F10" s="146">
        <v>8000</v>
      </c>
      <c r="G10" s="146">
        <v>7500</v>
      </c>
      <c r="H10" s="146">
        <v>7550</v>
      </c>
      <c r="I10" s="146">
        <v>10000</v>
      </c>
      <c r="J10" s="146">
        <v>9950</v>
      </c>
      <c r="K10" s="146">
        <v>10500</v>
      </c>
      <c r="L10" s="146">
        <v>9500</v>
      </c>
      <c r="M10" s="146">
        <v>9500</v>
      </c>
      <c r="N10" s="146">
        <v>10000</v>
      </c>
      <c r="O10" s="146">
        <v>10000</v>
      </c>
      <c r="P10" s="146">
        <v>11000</v>
      </c>
      <c r="Q10" s="161">
        <f t="shared" si="0"/>
        <v>9500</v>
      </c>
      <c r="R10" s="33"/>
      <c r="S10" s="38">
        <f t="shared" si="1"/>
        <v>-9.5238095238095233E-2</v>
      </c>
    </row>
    <row r="11" spans="2:24" ht="49.95" customHeight="1" x14ac:dyDescent="0.3">
      <c r="B11" s="50">
        <v>9</v>
      </c>
      <c r="C11" s="63" t="s">
        <v>47</v>
      </c>
      <c r="D11" s="62" t="s">
        <v>48</v>
      </c>
      <c r="E11" s="47">
        <v>0.5</v>
      </c>
      <c r="F11" s="47">
        <v>0.55000000000000004</v>
      </c>
      <c r="G11" s="47">
        <v>0.6</v>
      </c>
      <c r="H11" s="47">
        <v>0.57999999999999996</v>
      </c>
      <c r="I11" s="47">
        <v>0.68</v>
      </c>
      <c r="J11" s="47">
        <v>0.62</v>
      </c>
      <c r="K11" s="47">
        <v>0.59</v>
      </c>
      <c r="L11" s="47">
        <v>0.57999999999999996</v>
      </c>
      <c r="M11" s="47">
        <v>0.53</v>
      </c>
      <c r="N11" s="47">
        <v>0.67</v>
      </c>
      <c r="O11" s="47">
        <v>0.5</v>
      </c>
      <c r="P11" s="47">
        <v>0.62</v>
      </c>
      <c r="Q11" s="49">
        <f t="shared" si="0"/>
        <v>0.57999999999999996</v>
      </c>
      <c r="R11" s="32"/>
      <c r="S11" s="38">
        <f t="shared" si="1"/>
        <v>-1.6949152542372947E-2</v>
      </c>
    </row>
    <row r="12" spans="2:24" ht="49.95" customHeight="1" x14ac:dyDescent="0.3">
      <c r="B12" s="69">
        <v>10</v>
      </c>
      <c r="C12" s="70" t="s">
        <v>55</v>
      </c>
      <c r="D12" s="147" t="s">
        <v>70</v>
      </c>
      <c r="E12" s="71">
        <v>0.4</v>
      </c>
      <c r="F12" s="71">
        <v>0.42</v>
      </c>
      <c r="G12" s="71">
        <v>0.45</v>
      </c>
      <c r="H12" s="71">
        <v>0.43</v>
      </c>
      <c r="I12" s="71">
        <v>0.435</v>
      </c>
      <c r="J12" s="71">
        <v>0.42</v>
      </c>
      <c r="K12" s="71">
        <v>0.41</v>
      </c>
      <c r="L12" s="71">
        <v>0.45</v>
      </c>
      <c r="M12" s="71">
        <v>0.46</v>
      </c>
      <c r="N12" s="71">
        <v>0.47</v>
      </c>
      <c r="O12" s="71">
        <v>0.48</v>
      </c>
      <c r="P12" s="71">
        <v>0.47399999999999998</v>
      </c>
      <c r="Q12" s="49">
        <f t="shared" si="0"/>
        <v>0.45</v>
      </c>
      <c r="R12" s="34"/>
      <c r="S12" s="38">
        <f t="shared" si="1"/>
        <v>9.7560975609756184E-2</v>
      </c>
    </row>
    <row r="13" spans="2:24" ht="129.6" x14ac:dyDescent="0.3">
      <c r="B13" s="50">
        <v>11</v>
      </c>
      <c r="C13" s="63" t="s">
        <v>60</v>
      </c>
      <c r="D13" s="60" t="s">
        <v>71</v>
      </c>
      <c r="E13" s="53">
        <v>0.14000000000000001</v>
      </c>
      <c r="F13" s="53">
        <v>0.12</v>
      </c>
      <c r="G13" s="53">
        <v>0.13</v>
      </c>
      <c r="H13" s="53">
        <v>0.12</v>
      </c>
      <c r="I13" s="53">
        <v>0.11</v>
      </c>
      <c r="J13" s="53">
        <v>0.1</v>
      </c>
      <c r="K13" s="53">
        <v>0.09</v>
      </c>
      <c r="L13" s="53">
        <v>0.08</v>
      </c>
      <c r="M13" s="53">
        <v>7.0000000000000007E-2</v>
      </c>
      <c r="N13" s="53">
        <v>0.06</v>
      </c>
      <c r="O13" s="53">
        <v>0.05</v>
      </c>
      <c r="P13" s="53">
        <v>0.04</v>
      </c>
      <c r="Q13" s="162">
        <f t="shared" ref="Q13:Q14" si="2">IF($E$2=$S$1,E13,IF($F$2=$S$1,F13,IF($G$2=$S$1,G13,IF($H$2=$S$1,H13,IF($I$2=$S$1,I13,IF($J$2=$S$1,J13,IF($K$2=$S$1,K13,IF($L$2=$S$1,L13,IF($M$2=$S$1,M13,IF($N$2=$S$1,N13,IF($O$2=$S$1,O13,P13)))))))))))</f>
        <v>0.08</v>
      </c>
      <c r="R13" s="34"/>
      <c r="S13" s="38">
        <f t="shared" ref="S13:S14" si="3">IFERROR(IF($S$1=$E$2,0,IF($S$1=$F$2,F13/E13-1,IF($S$1=$G$2,G13/F13-1,IF($S$1=$H$2,H13/G13-1,IF($S$1=$I$2,I13/H13-1,IF($S$1=$J$2,J13/I13-1,IF($S$1=$K$2,K13/J13-1,IF($S$1=$L$2,L13/K13-1,IF($S$1=$M$2,M13/L13-1,IF($S$1=$N$2,N13/M13-1,IF($S$1=$O$2,O13/N13-1,IF($S$1=$P$2,P13/O13-1,"")))))))))))),0)</f>
        <v>-0.11111111111111105</v>
      </c>
    </row>
    <row r="14" spans="2:24" ht="100.8" x14ac:dyDescent="0.3">
      <c r="B14" s="50">
        <v>12</v>
      </c>
      <c r="C14" s="144" t="s">
        <v>64</v>
      </c>
      <c r="D14" s="60" t="s">
        <v>65</v>
      </c>
      <c r="E14" s="53">
        <v>0.9</v>
      </c>
      <c r="F14" s="53">
        <v>0.97</v>
      </c>
      <c r="G14" s="53">
        <v>0.87</v>
      </c>
      <c r="H14" s="53">
        <v>0.89</v>
      </c>
      <c r="I14" s="53">
        <v>0.9</v>
      </c>
      <c r="J14" s="53">
        <v>0.86</v>
      </c>
      <c r="K14" s="53">
        <v>0.88</v>
      </c>
      <c r="L14" s="53">
        <v>0.92</v>
      </c>
      <c r="M14" s="53">
        <v>0.93</v>
      </c>
      <c r="N14" s="53">
        <v>0.89</v>
      </c>
      <c r="O14" s="53">
        <v>0.92</v>
      </c>
      <c r="P14" s="53">
        <v>0.94</v>
      </c>
      <c r="Q14" s="49">
        <f t="shared" si="2"/>
        <v>0.92</v>
      </c>
      <c r="R14" s="34"/>
      <c r="S14" s="38">
        <f t="shared" si="3"/>
        <v>4.5454545454545414E-2</v>
      </c>
    </row>
    <row r="15" spans="2:24" ht="72.45" customHeight="1" x14ac:dyDescent="0.3">
      <c r="B15" s="218" t="s">
        <v>32</v>
      </c>
      <c r="C15" s="149" t="s">
        <v>24</v>
      </c>
      <c r="D15" s="150" t="s">
        <v>72</v>
      </c>
      <c r="E15" s="151">
        <v>0.18</v>
      </c>
      <c r="F15" s="151">
        <v>0.15</v>
      </c>
      <c r="G15" s="151">
        <v>0.08</v>
      </c>
      <c r="H15" s="151">
        <v>0.09</v>
      </c>
      <c r="I15" s="151">
        <v>0.12</v>
      </c>
      <c r="J15" s="151">
        <v>0.05</v>
      </c>
      <c r="K15" s="151">
        <v>0.1</v>
      </c>
      <c r="L15" s="151">
        <v>0.16</v>
      </c>
      <c r="M15" s="151">
        <v>0.12</v>
      </c>
      <c r="N15" s="151">
        <v>0.09</v>
      </c>
      <c r="O15" s="151">
        <v>0.15</v>
      </c>
      <c r="P15" s="151">
        <v>0.11</v>
      </c>
      <c r="Q15" s="49">
        <f t="shared" si="0"/>
        <v>0.16</v>
      </c>
      <c r="R15" s="34"/>
      <c r="S15" s="38">
        <f t="shared" si="1"/>
        <v>0.59999999999999987</v>
      </c>
    </row>
    <row r="16" spans="2:24" ht="100.8" x14ac:dyDescent="0.3">
      <c r="B16" s="218"/>
      <c r="C16" s="65" t="s">
        <v>25</v>
      </c>
      <c r="D16" s="121" t="s">
        <v>66</v>
      </c>
      <c r="E16" s="57">
        <v>0.85</v>
      </c>
      <c r="F16" s="57">
        <v>0.79669999999999996</v>
      </c>
      <c r="G16" s="57">
        <v>0.45760000000000001</v>
      </c>
      <c r="H16" s="57">
        <v>0.48</v>
      </c>
      <c r="I16" s="57">
        <v>0.72929999999999995</v>
      </c>
      <c r="J16" s="57">
        <v>0.68330000000000002</v>
      </c>
      <c r="K16" s="57">
        <v>0.5998</v>
      </c>
      <c r="L16" s="57">
        <v>0.61129999999999995</v>
      </c>
      <c r="M16" s="57">
        <v>0.67800000000000005</v>
      </c>
      <c r="N16" s="57">
        <v>0.76700000000000002</v>
      </c>
      <c r="O16" s="57">
        <v>0.871</v>
      </c>
      <c r="P16" s="57">
        <v>0.92330000000000001</v>
      </c>
      <c r="Q16" s="49">
        <f t="shared" si="0"/>
        <v>0.61129999999999995</v>
      </c>
      <c r="R16" s="34"/>
      <c r="S16" s="38">
        <f t="shared" si="1"/>
        <v>1.9173057685895278E-2</v>
      </c>
    </row>
    <row r="17" spans="2:19" ht="61.5" customHeight="1" thickBot="1" x14ac:dyDescent="0.35">
      <c r="B17" s="219"/>
      <c r="C17" s="73" t="s">
        <v>26</v>
      </c>
      <c r="D17" s="75" t="s">
        <v>49</v>
      </c>
      <c r="E17" s="74">
        <v>0.5</v>
      </c>
      <c r="F17" s="74">
        <v>0.42</v>
      </c>
      <c r="G17" s="74">
        <v>0.38</v>
      </c>
      <c r="H17" s="74">
        <v>0.67</v>
      </c>
      <c r="I17" s="74">
        <v>0.37</v>
      </c>
      <c r="J17" s="74">
        <v>0.56999999999999995</v>
      </c>
      <c r="K17" s="74">
        <v>0.92</v>
      </c>
      <c r="L17" s="74">
        <v>0.9</v>
      </c>
      <c r="M17" s="74">
        <v>0.71</v>
      </c>
      <c r="N17" s="74">
        <v>0.31</v>
      </c>
      <c r="O17" s="74">
        <v>0.68</v>
      </c>
      <c r="P17" s="74">
        <v>0.81</v>
      </c>
      <c r="Q17" s="49">
        <f t="shared" si="0"/>
        <v>0.9</v>
      </c>
      <c r="R17" s="34"/>
      <c r="S17" s="38">
        <f t="shared" si="1"/>
        <v>-2.1739130434782594E-2</v>
      </c>
    </row>
    <row r="18" spans="2:19" ht="49.95" customHeight="1" x14ac:dyDescent="0.3">
      <c r="B18" s="220" t="s">
        <v>33</v>
      </c>
      <c r="C18" s="76" t="s">
        <v>31</v>
      </c>
      <c r="D18" s="122" t="s">
        <v>50</v>
      </c>
      <c r="E18" s="77">
        <v>16</v>
      </c>
      <c r="F18" s="77">
        <v>20</v>
      </c>
      <c r="G18" s="77">
        <v>18</v>
      </c>
      <c r="H18" s="77">
        <v>18</v>
      </c>
      <c r="I18" s="77">
        <v>16</v>
      </c>
      <c r="J18" s="77">
        <v>16</v>
      </c>
      <c r="K18" s="77">
        <v>15</v>
      </c>
      <c r="L18" s="77">
        <v>20</v>
      </c>
      <c r="M18" s="77">
        <v>17</v>
      </c>
      <c r="N18" s="77">
        <v>16</v>
      </c>
      <c r="O18" s="77">
        <v>18</v>
      </c>
      <c r="P18" s="77">
        <v>18</v>
      </c>
      <c r="Q18" s="52">
        <f t="shared" si="0"/>
        <v>20</v>
      </c>
      <c r="R18" s="33"/>
      <c r="S18" s="38">
        <f t="shared" si="1"/>
        <v>0.33333333333333326</v>
      </c>
    </row>
    <row r="19" spans="2:19" ht="49.95" customHeight="1" x14ac:dyDescent="0.3">
      <c r="B19" s="220"/>
      <c r="C19" s="78" t="s">
        <v>29</v>
      </c>
      <c r="D19" s="123" t="s">
        <v>51</v>
      </c>
      <c r="E19" s="79">
        <v>17</v>
      </c>
      <c r="F19" s="79">
        <v>20</v>
      </c>
      <c r="G19" s="79">
        <v>15</v>
      </c>
      <c r="H19" s="79">
        <v>18</v>
      </c>
      <c r="I19" s="79">
        <v>16</v>
      </c>
      <c r="J19" s="79">
        <v>16</v>
      </c>
      <c r="K19" s="79">
        <v>20</v>
      </c>
      <c r="L19" s="79">
        <v>15</v>
      </c>
      <c r="M19" s="79">
        <v>20</v>
      </c>
      <c r="N19" s="79">
        <v>20</v>
      </c>
      <c r="O19" s="79">
        <v>18</v>
      </c>
      <c r="P19" s="79">
        <v>17</v>
      </c>
      <c r="Q19" s="52">
        <f t="shared" si="0"/>
        <v>15</v>
      </c>
      <c r="R19" s="33"/>
      <c r="S19" s="38">
        <f t="shared" si="1"/>
        <v>-0.25</v>
      </c>
    </row>
    <row r="20" spans="2:19" ht="49.95" customHeight="1" x14ac:dyDescent="0.3">
      <c r="B20" s="221"/>
      <c r="C20" s="66" t="s">
        <v>18</v>
      </c>
      <c r="D20" s="61" t="s">
        <v>52</v>
      </c>
      <c r="E20" s="58">
        <f>SUM(E18:E19)</f>
        <v>33</v>
      </c>
      <c r="F20" s="58">
        <f t="shared" ref="F20:P20" si="4">SUM(F18:F19)</f>
        <v>40</v>
      </c>
      <c r="G20" s="58">
        <f t="shared" si="4"/>
        <v>33</v>
      </c>
      <c r="H20" s="58">
        <f t="shared" si="4"/>
        <v>36</v>
      </c>
      <c r="I20" s="58">
        <f t="shared" si="4"/>
        <v>32</v>
      </c>
      <c r="J20" s="58">
        <f t="shared" si="4"/>
        <v>32</v>
      </c>
      <c r="K20" s="58">
        <f t="shared" si="4"/>
        <v>35</v>
      </c>
      <c r="L20" s="58">
        <f t="shared" si="4"/>
        <v>35</v>
      </c>
      <c r="M20" s="58">
        <f t="shared" si="4"/>
        <v>37</v>
      </c>
      <c r="N20" s="58">
        <f t="shared" si="4"/>
        <v>36</v>
      </c>
      <c r="O20" s="58">
        <f t="shared" si="4"/>
        <v>36</v>
      </c>
      <c r="P20" s="58">
        <f t="shared" si="4"/>
        <v>35</v>
      </c>
      <c r="Q20" s="52">
        <f t="shared" si="0"/>
        <v>35</v>
      </c>
      <c r="R20" s="33"/>
      <c r="S20" s="38">
        <f t="shared" si="1"/>
        <v>0</v>
      </c>
    </row>
  </sheetData>
  <mergeCells count="2">
    <mergeCell ref="B15:B17"/>
    <mergeCell ref="B18:B20"/>
  </mergeCells>
  <phoneticPr fontId="5" type="noConversion"/>
  <pageMargins left="0.25" right="0.25" top="0.75" bottom="0.75" header="0.3" footer="0.3"/>
  <pageSetup scale="68" orientation="landscape" r:id="rId1"/>
  <colBreaks count="1" manualBreakCount="1">
    <brk id="17" max="1048575" man="1"/>
  </colBreaks>
  <ignoredErrors>
    <ignoredError sqref="E20:P20"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7BDBE-7E21-4CA6-8312-075F5D614036}">
  <sheetPr>
    <tabColor theme="5" tint="0.79998168889431442"/>
  </sheetPr>
  <dimension ref="B1:V35"/>
  <sheetViews>
    <sheetView showGridLines="0" zoomScale="90" zoomScaleNormal="100" workbookViewId="0">
      <pane xSplit="4" ySplit="5" topLeftCell="F6" activePane="bottomRight" state="frozen"/>
      <selection pane="topRight" activeCell="E1" sqref="E1"/>
      <selection pane="bottomLeft" activeCell="A6" sqref="A6"/>
      <selection pane="bottomRight" activeCell="L24" sqref="L24"/>
    </sheetView>
  </sheetViews>
  <sheetFormatPr defaultRowHeight="14.4" x14ac:dyDescent="0.3"/>
  <cols>
    <col min="1" max="1" width="1.21875" customWidth="1"/>
    <col min="2" max="2" width="8.5546875" customWidth="1"/>
    <col min="3" max="3" width="30.21875" customWidth="1"/>
    <col min="4" max="4" width="4" bestFit="1" customWidth="1"/>
    <col min="5" max="5" width="11.77734375" bestFit="1" customWidth="1"/>
    <col min="6" max="7" width="12.6640625" bestFit="1" customWidth="1"/>
    <col min="8" max="9" width="13.6640625" bestFit="1" customWidth="1"/>
    <col min="10" max="16" width="12.6640625" bestFit="1" customWidth="1"/>
    <col min="17" max="17" width="1.77734375" customWidth="1"/>
    <col min="18" max="18" width="13.44140625" customWidth="1"/>
    <col min="19" max="19" width="0.77734375" customWidth="1"/>
    <col min="20" max="20" width="12.77734375" bestFit="1" customWidth="1"/>
    <col min="21" max="21" width="0.77734375" customWidth="1"/>
    <col min="22" max="22" width="10.21875" customWidth="1"/>
  </cols>
  <sheetData>
    <row r="1" spans="2:22" ht="5.25" customHeight="1" x14ac:dyDescent="0.3">
      <c r="B1" s="80"/>
      <c r="C1" s="80"/>
      <c r="D1" s="80"/>
      <c r="E1" s="80"/>
      <c r="F1" s="80"/>
      <c r="G1" s="80"/>
      <c r="H1" s="80"/>
      <c r="I1" s="80"/>
      <c r="J1" s="80"/>
      <c r="K1" s="80"/>
      <c r="L1" s="80"/>
      <c r="M1" s="80"/>
      <c r="N1" s="80"/>
      <c r="O1" s="80"/>
      <c r="P1" s="80"/>
      <c r="Q1" s="80"/>
      <c r="R1" s="80"/>
      <c r="S1" s="80"/>
      <c r="T1" s="80"/>
      <c r="U1" s="80"/>
      <c r="V1" s="80"/>
    </row>
    <row r="2" spans="2:22" ht="5.25" customHeight="1" x14ac:dyDescent="0.3">
      <c r="B2" s="80"/>
      <c r="C2" s="80"/>
      <c r="D2" s="80"/>
      <c r="E2" s="80"/>
      <c r="F2" s="80"/>
      <c r="G2" s="222" t="s">
        <v>73</v>
      </c>
      <c r="H2" s="222"/>
      <c r="I2" s="222"/>
      <c r="J2" s="222"/>
      <c r="K2" s="222"/>
      <c r="L2" s="222"/>
      <c r="M2" s="222"/>
      <c r="N2" s="222"/>
      <c r="O2" s="80"/>
      <c r="P2" s="80"/>
      <c r="Q2" s="80"/>
      <c r="R2" s="80"/>
      <c r="S2" s="80"/>
      <c r="T2" s="80"/>
      <c r="U2" s="80"/>
      <c r="V2" s="80"/>
    </row>
    <row r="3" spans="2:22" ht="9.4499999999999993" customHeight="1" x14ac:dyDescent="0.3">
      <c r="B3" s="80"/>
      <c r="C3" s="80"/>
      <c r="D3" s="80"/>
      <c r="E3" s="80"/>
      <c r="F3" s="80"/>
      <c r="G3" s="222"/>
      <c r="H3" s="222"/>
      <c r="I3" s="222"/>
      <c r="J3" s="222"/>
      <c r="K3" s="222"/>
      <c r="L3" s="222"/>
      <c r="M3" s="222"/>
      <c r="N3" s="222"/>
      <c r="O3" s="80"/>
      <c r="P3" s="80"/>
      <c r="Q3" s="80"/>
      <c r="R3" s="80"/>
      <c r="S3" s="80"/>
      <c r="T3" s="80"/>
      <c r="U3" s="80"/>
      <c r="V3" s="80"/>
    </row>
    <row r="4" spans="2:22" ht="18" customHeight="1" x14ac:dyDescent="0.3">
      <c r="B4" s="80"/>
      <c r="C4" s="80"/>
      <c r="D4" s="80"/>
      <c r="E4" s="80"/>
      <c r="F4" s="80"/>
      <c r="G4" s="80"/>
      <c r="H4" s="80"/>
      <c r="I4" s="80"/>
      <c r="J4" s="80"/>
      <c r="K4" s="80"/>
      <c r="L4" s="80"/>
      <c r="M4" s="80"/>
      <c r="N4" s="80"/>
      <c r="O4" s="80"/>
      <c r="P4" s="80"/>
      <c r="Q4" s="80"/>
      <c r="R4" s="81" t="str">
        <f>'Dashboard - HR Metrics'!X3</f>
        <v>Aug</v>
      </c>
      <c r="S4" s="82"/>
      <c r="T4" s="80"/>
      <c r="U4" s="82"/>
      <c r="V4" s="80"/>
    </row>
    <row r="5" spans="2:22" ht="15" thickBot="1" x14ac:dyDescent="0.35">
      <c r="B5" s="189" t="str">
        <f>KPIs!B2</f>
        <v>#</v>
      </c>
      <c r="C5" s="227" t="str">
        <f>KPIs!C2</f>
        <v>KPI</v>
      </c>
      <c r="D5" s="227"/>
      <c r="E5" s="189" t="str">
        <f>KPIs!E2</f>
        <v>Jan</v>
      </c>
      <c r="F5" s="189" t="str">
        <f>KPIs!F2</f>
        <v>Feb</v>
      </c>
      <c r="G5" s="189" t="str">
        <f>KPIs!G2</f>
        <v>Mar</v>
      </c>
      <c r="H5" s="189" t="str">
        <f>KPIs!H2</f>
        <v>Apr</v>
      </c>
      <c r="I5" s="189" t="str">
        <f>KPIs!I2</f>
        <v>May</v>
      </c>
      <c r="J5" s="189" t="str">
        <f>KPIs!J2</f>
        <v>Jun</v>
      </c>
      <c r="K5" s="189" t="str">
        <f>KPIs!K2</f>
        <v>Jul</v>
      </c>
      <c r="L5" s="189" t="str">
        <f>KPIs!L2</f>
        <v>Aug</v>
      </c>
      <c r="M5" s="189" t="str">
        <f>KPIs!M2</f>
        <v>Sep</v>
      </c>
      <c r="N5" s="189" t="str">
        <f>KPIs!N2</f>
        <v>Oct</v>
      </c>
      <c r="O5" s="189" t="str">
        <f>KPIs!O2</f>
        <v>Nov</v>
      </c>
      <c r="P5" s="189" t="str">
        <f>KPIs!P2</f>
        <v>Dec</v>
      </c>
      <c r="Q5" s="80"/>
      <c r="R5" s="83" t="s">
        <v>36</v>
      </c>
      <c r="S5" s="84"/>
      <c r="T5" s="85" t="s">
        <v>37</v>
      </c>
      <c r="U5" s="84"/>
      <c r="V5" s="83" t="s">
        <v>38</v>
      </c>
    </row>
    <row r="6" spans="2:22" x14ac:dyDescent="0.3">
      <c r="B6" s="45">
        <f>KPIs!B3</f>
        <v>1</v>
      </c>
      <c r="C6" s="228" t="str">
        <f>KPIs!C3</f>
        <v>Cost Per Hire</v>
      </c>
      <c r="D6" s="229"/>
      <c r="E6" s="127">
        <f>KPIs!E3</f>
        <v>8000</v>
      </c>
      <c r="F6" s="127">
        <f>KPIs!F3</f>
        <v>5000</v>
      </c>
      <c r="G6" s="127">
        <f>KPIs!G3</f>
        <v>4500</v>
      </c>
      <c r="H6" s="127">
        <f>KPIs!H3</f>
        <v>10000</v>
      </c>
      <c r="I6" s="127">
        <f>KPIs!I3</f>
        <v>12000</v>
      </c>
      <c r="J6" s="127">
        <f>KPIs!J3</f>
        <v>4000</v>
      </c>
      <c r="K6" s="127">
        <f>KPIs!K3</f>
        <v>6000</v>
      </c>
      <c r="L6" s="127">
        <f>KPIs!L3</f>
        <v>4000</v>
      </c>
      <c r="M6" s="127">
        <f>KPIs!M3</f>
        <v>3498</v>
      </c>
      <c r="N6" s="127">
        <f>KPIs!N3</f>
        <v>8000</v>
      </c>
      <c r="O6" s="127">
        <f>KPIs!O3</f>
        <v>7500</v>
      </c>
      <c r="P6" s="128">
        <f>KPIs!P3</f>
        <v>9654</v>
      </c>
      <c r="Q6" s="80"/>
      <c r="R6" s="86">
        <f>(T6/V6)-100%</f>
        <v>-0.33333333333333337</v>
      </c>
      <c r="S6" s="87"/>
      <c r="T6" s="142">
        <f t="shared" ref="T6:T15" si="0">IF($E$5=$R$4,E6,IF($F$5=$R$4,F6,IF($G$5=$R$4,G6,IF($H$5=$R$4,H6,IF($I$5=$R$4,I6,IF($J$5=$R$4,J6,IF($K$5=$R$4,K6,IF($L$5=$R$4,L6,IF($M$5=$R$4,M6,IF($N$5=$R$4,N6,IF($O$5=$R$4,O6,P6)))))))))))</f>
        <v>4000</v>
      </c>
      <c r="U6" s="142"/>
      <c r="V6" s="142">
        <f t="shared" ref="V6:V15" si="1">(IF($R$4=$E$5,E6,IF($R$4=$F$5,E6,IF($R$4=$G$5,F6,IF($R$4=$H$5,G6,IF($R$4=$I$5,H6,IF($R$4=$J$5,I6,IF($R$4=$K$5,J6,IF($R$4=$L$5,K6,IF($R$4=$M$5,L6,IF($R$4=$N$5,M6,IF($R$4=$O$5,N6,IF($R$4=$P$5,O6,"")))))))))))))</f>
        <v>6000</v>
      </c>
    </row>
    <row r="7" spans="2:22" x14ac:dyDescent="0.3">
      <c r="B7" s="45">
        <f>KPIs!B4</f>
        <v>2</v>
      </c>
      <c r="C7" s="230" t="str">
        <f>KPIs!C4</f>
        <v>Time to Hire (days per hire)</v>
      </c>
      <c r="D7" s="231"/>
      <c r="E7" s="51">
        <f>KPIs!E4</f>
        <v>25</v>
      </c>
      <c r="F7" s="51">
        <f>KPIs!F4</f>
        <v>20</v>
      </c>
      <c r="G7" s="51">
        <f>KPIs!G4</f>
        <v>25</v>
      </c>
      <c r="H7" s="51">
        <f>KPIs!H4</f>
        <v>20</v>
      </c>
      <c r="I7" s="51">
        <f>KPIs!I4</f>
        <v>22</v>
      </c>
      <c r="J7" s="51">
        <f>KPIs!J4</f>
        <v>21</v>
      </c>
      <c r="K7" s="51">
        <f>KPIs!K4</f>
        <v>24</v>
      </c>
      <c r="L7" s="51">
        <f>KPIs!L4</f>
        <v>19</v>
      </c>
      <c r="M7" s="51">
        <f>KPIs!M4</f>
        <v>17</v>
      </c>
      <c r="N7" s="51">
        <f>KPIs!N4</f>
        <v>18</v>
      </c>
      <c r="O7" s="51">
        <f>KPIs!O4</f>
        <v>15</v>
      </c>
      <c r="P7" s="51">
        <f>KPIs!P4</f>
        <v>5</v>
      </c>
      <c r="Q7" s="80"/>
      <c r="R7" s="86">
        <f t="shared" ref="R7:R24" si="2">(T7/V7)-100%</f>
        <v>-0.20833333333333337</v>
      </c>
      <c r="S7" s="87"/>
      <c r="T7" s="89">
        <f t="shared" si="0"/>
        <v>19</v>
      </c>
      <c r="U7" s="88"/>
      <c r="V7" s="89">
        <f t="shared" si="1"/>
        <v>24</v>
      </c>
    </row>
    <row r="8" spans="2:22" x14ac:dyDescent="0.3">
      <c r="B8" s="45">
        <f>KPIs!B5</f>
        <v>3</v>
      </c>
      <c r="C8" s="230" t="str">
        <f>KPIs!C5</f>
        <v>Quality of hire (out of 10)</v>
      </c>
      <c r="D8" s="231"/>
      <c r="E8" s="67">
        <f>KPIs!E5</f>
        <v>5</v>
      </c>
      <c r="F8" s="67">
        <f>KPIs!F5</f>
        <v>5</v>
      </c>
      <c r="G8" s="67">
        <f>KPIs!G5</f>
        <v>4</v>
      </c>
      <c r="H8" s="67">
        <f>KPIs!H5</f>
        <v>7</v>
      </c>
      <c r="I8" s="67">
        <f>KPIs!I5</f>
        <v>3</v>
      </c>
      <c r="J8" s="67">
        <f>KPIs!J5</f>
        <v>8</v>
      </c>
      <c r="K8" s="67">
        <f>KPIs!K5</f>
        <v>1</v>
      </c>
      <c r="L8" s="67">
        <f>KPIs!L5</f>
        <v>9</v>
      </c>
      <c r="M8" s="67">
        <f>KPIs!M5</f>
        <v>8</v>
      </c>
      <c r="N8" s="67">
        <f>KPIs!N5</f>
        <v>7</v>
      </c>
      <c r="O8" s="67">
        <f>KPIs!O5</f>
        <v>7</v>
      </c>
      <c r="P8" s="68">
        <f>KPIs!P5</f>
        <v>8</v>
      </c>
      <c r="Q8" s="80"/>
      <c r="R8" s="86">
        <f t="shared" si="2"/>
        <v>8</v>
      </c>
      <c r="S8" s="87"/>
      <c r="T8" s="89">
        <f t="shared" si="0"/>
        <v>9</v>
      </c>
      <c r="U8" s="89"/>
      <c r="V8" s="89">
        <f t="shared" si="1"/>
        <v>1</v>
      </c>
    </row>
    <row r="9" spans="2:22" x14ac:dyDescent="0.3">
      <c r="B9" s="45">
        <f>KPIs!B6</f>
        <v>4</v>
      </c>
      <c r="C9" s="230" t="str">
        <f>KPIs!C6</f>
        <v>Employee Net Promoter Score (%)</v>
      </c>
      <c r="D9" s="231"/>
      <c r="E9" s="53">
        <f>KPIs!E6</f>
        <v>0.9</v>
      </c>
      <c r="F9" s="53">
        <f>KPIs!F6</f>
        <v>0.95</v>
      </c>
      <c r="G9" s="53">
        <f>KPIs!G6</f>
        <v>0.99</v>
      </c>
      <c r="H9" s="53">
        <f>KPIs!H6</f>
        <v>0.98</v>
      </c>
      <c r="I9" s="53">
        <f>KPIs!I6</f>
        <v>0.96</v>
      </c>
      <c r="J9" s="53">
        <f>KPIs!J6</f>
        <v>0.93</v>
      </c>
      <c r="K9" s="53">
        <f>KPIs!K6</f>
        <v>0.92</v>
      </c>
      <c r="L9" s="53">
        <f>KPIs!L6</f>
        <v>0.95</v>
      </c>
      <c r="M9" s="53">
        <f>KPIs!M6</f>
        <v>0.98</v>
      </c>
      <c r="N9" s="53">
        <f>KPIs!N6</f>
        <v>0.99</v>
      </c>
      <c r="O9" s="53">
        <f>KPIs!O6</f>
        <v>0.95</v>
      </c>
      <c r="P9" s="54">
        <f>KPIs!P6</f>
        <v>0.99</v>
      </c>
      <c r="Q9" s="80"/>
      <c r="R9" s="86">
        <f t="shared" si="2"/>
        <v>3.2608695652173836E-2</v>
      </c>
      <c r="S9" s="87"/>
      <c r="T9" s="88">
        <f t="shared" si="0"/>
        <v>0.95</v>
      </c>
      <c r="U9" s="88"/>
      <c r="V9" s="88">
        <f t="shared" si="1"/>
        <v>0.92</v>
      </c>
    </row>
    <row r="10" spans="2:22" x14ac:dyDescent="0.3">
      <c r="B10" s="45">
        <f>KPIs!B7</f>
        <v>5</v>
      </c>
      <c r="C10" s="230" t="str">
        <f>KPIs!C7</f>
        <v>Absenteeism Rate (%)</v>
      </c>
      <c r="D10" s="231"/>
      <c r="E10" s="53">
        <f>KPIs!E7</f>
        <v>0.02</v>
      </c>
      <c r="F10" s="53">
        <f>KPIs!F7</f>
        <v>0.17</v>
      </c>
      <c r="G10" s="53">
        <f>KPIs!G7</f>
        <v>0.08</v>
      </c>
      <c r="H10" s="53">
        <f>KPIs!H7</f>
        <v>0.05</v>
      </c>
      <c r="I10" s="53">
        <f>KPIs!I7</f>
        <v>0.04</v>
      </c>
      <c r="J10" s="53">
        <f>KPIs!J7</f>
        <v>0.05</v>
      </c>
      <c r="K10" s="53">
        <f>KPIs!K7</f>
        <v>0.01</v>
      </c>
      <c r="L10" s="53">
        <f>KPIs!L7</f>
        <v>0.09</v>
      </c>
      <c r="M10" s="53">
        <f>KPIs!M7</f>
        <v>0.1</v>
      </c>
      <c r="N10" s="53">
        <f>KPIs!N7</f>
        <v>0.02</v>
      </c>
      <c r="O10" s="53">
        <f>KPIs!O7</f>
        <v>0.06</v>
      </c>
      <c r="P10" s="54">
        <f>KPIs!P7</f>
        <v>7.0000000000000007E-2</v>
      </c>
      <c r="Q10" s="80"/>
      <c r="R10" s="86">
        <f t="shared" si="2"/>
        <v>8</v>
      </c>
      <c r="S10" s="87"/>
      <c r="T10" s="88">
        <f t="shared" si="0"/>
        <v>0.09</v>
      </c>
      <c r="U10" s="88"/>
      <c r="V10" s="88">
        <f t="shared" si="1"/>
        <v>0.01</v>
      </c>
    </row>
    <row r="11" spans="2:22" x14ac:dyDescent="0.3">
      <c r="B11" s="45">
        <f>KPIs!B8</f>
        <v>6</v>
      </c>
      <c r="C11" s="230" t="str">
        <f>KPIs!C8</f>
        <v>Employee Growth Rate (%)</v>
      </c>
      <c r="D11" s="231"/>
      <c r="E11" s="47">
        <f>KPIs!E8</f>
        <v>0.5</v>
      </c>
      <c r="F11" s="47">
        <f>KPIs!F8</f>
        <v>0.45</v>
      </c>
      <c r="G11" s="47">
        <f>KPIs!G8</f>
        <v>0.44</v>
      </c>
      <c r="H11" s="47">
        <f>KPIs!H8</f>
        <v>0.47</v>
      </c>
      <c r="I11" s="47">
        <f>KPIs!I8</f>
        <v>0.46</v>
      </c>
      <c r="J11" s="47">
        <f>KPIs!J8</f>
        <v>0.44</v>
      </c>
      <c r="K11" s="47">
        <f>KPIs!K8</f>
        <v>0.45</v>
      </c>
      <c r="L11" s="47">
        <f>KPIs!L8</f>
        <v>0.46</v>
      </c>
      <c r="M11" s="47">
        <f>KPIs!M8</f>
        <v>0.47</v>
      </c>
      <c r="N11" s="47">
        <f>KPIs!N8</f>
        <v>0.49</v>
      </c>
      <c r="O11" s="47">
        <f>KPIs!O8</f>
        <v>0.52</v>
      </c>
      <c r="P11" s="48">
        <f>KPIs!P8</f>
        <v>0.53</v>
      </c>
      <c r="Q11" s="80"/>
      <c r="R11" s="86">
        <f t="shared" si="2"/>
        <v>2.2222222222222143E-2</v>
      </c>
      <c r="S11" s="87"/>
      <c r="T11" s="88">
        <f t="shared" si="0"/>
        <v>0.46</v>
      </c>
      <c r="U11" s="88"/>
      <c r="V11" s="88">
        <f t="shared" si="1"/>
        <v>0.45</v>
      </c>
    </row>
    <row r="12" spans="2:22" x14ac:dyDescent="0.3">
      <c r="B12" s="45">
        <f>KPIs!B9</f>
        <v>7</v>
      </c>
      <c r="C12" s="230" t="str">
        <f>KPIs!C9</f>
        <v>Employee Turnover Rate (%)</v>
      </c>
      <c r="D12" s="231"/>
      <c r="E12" s="53">
        <f>KPIs!E9</f>
        <v>0.08</v>
      </c>
      <c r="F12" s="53">
        <v>7.0000000000000007E-2</v>
      </c>
      <c r="G12" s="53">
        <v>0.06</v>
      </c>
      <c r="H12" s="53">
        <v>0.02</v>
      </c>
      <c r="I12" s="53">
        <f>KPIs!I9</f>
        <v>0.04</v>
      </c>
      <c r="J12" s="53">
        <v>0.06</v>
      </c>
      <c r="K12" s="53">
        <f>KPIs!K9</f>
        <v>0.02</v>
      </c>
      <c r="L12" s="53">
        <v>0.04</v>
      </c>
      <c r="M12" s="53">
        <f>KPIs!M9</f>
        <v>0.01</v>
      </c>
      <c r="N12" s="53">
        <f>KPIs!N9</f>
        <v>7.0000000000000007E-2</v>
      </c>
      <c r="O12" s="53">
        <v>0.06</v>
      </c>
      <c r="P12" s="54">
        <f>KPIs!P9</f>
        <v>0.01</v>
      </c>
      <c r="Q12" s="80"/>
      <c r="R12" s="86">
        <f t="shared" si="2"/>
        <v>1</v>
      </c>
      <c r="S12" s="87"/>
      <c r="T12" s="88">
        <f t="shared" si="0"/>
        <v>0.04</v>
      </c>
      <c r="U12" s="88"/>
      <c r="V12" s="88">
        <f t="shared" si="1"/>
        <v>0.02</v>
      </c>
    </row>
    <row r="13" spans="2:22" x14ac:dyDescent="0.3">
      <c r="B13" s="45">
        <f>KPIs!B10</f>
        <v>8</v>
      </c>
      <c r="C13" s="230" t="str">
        <f>KPIs!C10</f>
        <v>Salary Averages</v>
      </c>
      <c r="D13" s="231"/>
      <c r="E13" s="55">
        <f>KPIs!E10</f>
        <v>8000</v>
      </c>
      <c r="F13" s="55">
        <f>KPIs!F10</f>
        <v>8000</v>
      </c>
      <c r="G13" s="55">
        <f>KPIs!G10</f>
        <v>7500</v>
      </c>
      <c r="H13" s="55">
        <f>KPIs!H10</f>
        <v>7550</v>
      </c>
      <c r="I13" s="55">
        <f>KPIs!I10</f>
        <v>10000</v>
      </c>
      <c r="J13" s="55">
        <f>KPIs!J10</f>
        <v>9950</v>
      </c>
      <c r="K13" s="55">
        <f>KPIs!K10</f>
        <v>10500</v>
      </c>
      <c r="L13" s="55">
        <f>KPIs!L10</f>
        <v>9500</v>
      </c>
      <c r="M13" s="55">
        <f>KPIs!M10</f>
        <v>9500</v>
      </c>
      <c r="N13" s="55">
        <f>KPIs!N10</f>
        <v>10000</v>
      </c>
      <c r="O13" s="55">
        <f>KPIs!O10</f>
        <v>10000</v>
      </c>
      <c r="P13" s="56">
        <f>KPIs!P10</f>
        <v>11000</v>
      </c>
      <c r="Q13" s="80"/>
      <c r="R13" s="86">
        <f t="shared" si="2"/>
        <v>-9.5238095238095233E-2</v>
      </c>
      <c r="S13" s="87"/>
      <c r="T13" s="89">
        <f t="shared" si="0"/>
        <v>9500</v>
      </c>
      <c r="U13" s="88"/>
      <c r="V13" s="89">
        <f t="shared" si="1"/>
        <v>10500</v>
      </c>
    </row>
    <row r="14" spans="2:22" x14ac:dyDescent="0.3">
      <c r="B14" s="45">
        <f>KPIs!B11</f>
        <v>9</v>
      </c>
      <c r="C14" s="230" t="str">
        <f>KPIs!C11</f>
        <v>Salary Range Penetration</v>
      </c>
      <c r="D14" s="231"/>
      <c r="E14" s="47">
        <f>KPIs!E11</f>
        <v>0.5</v>
      </c>
      <c r="F14" s="47">
        <f>KPIs!F11</f>
        <v>0.55000000000000004</v>
      </c>
      <c r="G14" s="47">
        <f>KPIs!G11</f>
        <v>0.6</v>
      </c>
      <c r="H14" s="47">
        <f>KPIs!H11</f>
        <v>0.57999999999999996</v>
      </c>
      <c r="I14" s="47">
        <f>KPIs!I11</f>
        <v>0.68</v>
      </c>
      <c r="J14" s="47">
        <f>KPIs!J11</f>
        <v>0.62</v>
      </c>
      <c r="K14" s="47">
        <f>KPIs!K11</f>
        <v>0.59</v>
      </c>
      <c r="L14" s="47">
        <f>KPIs!L11</f>
        <v>0.57999999999999996</v>
      </c>
      <c r="M14" s="47">
        <f>KPIs!M11</f>
        <v>0.53</v>
      </c>
      <c r="N14" s="47">
        <f>KPIs!N11</f>
        <v>0.67</v>
      </c>
      <c r="O14" s="47">
        <f>KPIs!O11</f>
        <v>0.5</v>
      </c>
      <c r="P14" s="48">
        <f>KPIs!P11</f>
        <v>0.62</v>
      </c>
      <c r="Q14" s="80"/>
      <c r="R14" s="86">
        <f t="shared" si="2"/>
        <v>-1.6949152542372947E-2</v>
      </c>
      <c r="S14" s="87"/>
      <c r="T14" s="88">
        <f t="shared" si="0"/>
        <v>0.57999999999999996</v>
      </c>
      <c r="U14" s="88"/>
      <c r="V14" s="88">
        <f t="shared" si="1"/>
        <v>0.59</v>
      </c>
    </row>
    <row r="15" spans="2:22" x14ac:dyDescent="0.3">
      <c r="B15" s="124">
        <f>KPIs!B12</f>
        <v>10</v>
      </c>
      <c r="C15" s="241" t="str">
        <f>KPIs!C12</f>
        <v>Diversity Ratio</v>
      </c>
      <c r="D15" s="242"/>
      <c r="E15" s="71">
        <f>KPIs!E12</f>
        <v>0.4</v>
      </c>
      <c r="F15" s="71">
        <f>KPIs!F12</f>
        <v>0.42</v>
      </c>
      <c r="G15" s="71">
        <f>KPIs!G12</f>
        <v>0.45</v>
      </c>
      <c r="H15" s="71">
        <f>KPIs!H12</f>
        <v>0.43</v>
      </c>
      <c r="I15" s="71">
        <f>KPIs!I12</f>
        <v>0.435</v>
      </c>
      <c r="J15" s="71">
        <f>KPIs!J12</f>
        <v>0.42</v>
      </c>
      <c r="K15" s="71">
        <f>KPIs!K12</f>
        <v>0.41</v>
      </c>
      <c r="L15" s="71">
        <f>KPIs!L12</f>
        <v>0.45</v>
      </c>
      <c r="M15" s="71">
        <f>KPIs!M12</f>
        <v>0.46</v>
      </c>
      <c r="N15" s="71">
        <f>KPIs!N12</f>
        <v>0.47</v>
      </c>
      <c r="O15" s="71">
        <f>KPIs!O12</f>
        <v>0.48</v>
      </c>
      <c r="P15" s="72">
        <f>KPIs!P12</f>
        <v>0.47399999999999998</v>
      </c>
      <c r="Q15" s="80"/>
      <c r="R15" s="86">
        <f t="shared" si="2"/>
        <v>9.7560975609756184E-2</v>
      </c>
      <c r="S15" s="87"/>
      <c r="T15" s="88">
        <f t="shared" si="0"/>
        <v>0.45</v>
      </c>
      <c r="U15" s="88"/>
      <c r="V15" s="88">
        <f t="shared" si="1"/>
        <v>0.41</v>
      </c>
    </row>
    <row r="16" spans="2:22" x14ac:dyDescent="0.3">
      <c r="B16" s="156">
        <v>11</v>
      </c>
      <c r="C16" s="243" t="str">
        <f>KPIs!C13</f>
        <v>Attrition Risk (Critical Staff)</v>
      </c>
      <c r="D16" s="244"/>
      <c r="E16" s="157">
        <f>KPIs!E13</f>
        <v>0.14000000000000001</v>
      </c>
      <c r="F16" s="157">
        <f>KPIs!F13</f>
        <v>0.12</v>
      </c>
      <c r="G16" s="157">
        <f>KPIs!G13</f>
        <v>0.13</v>
      </c>
      <c r="H16" s="157">
        <f>KPIs!H13</f>
        <v>0.12</v>
      </c>
      <c r="I16" s="157">
        <f>KPIs!I13</f>
        <v>0.11</v>
      </c>
      <c r="J16" s="157">
        <f>KPIs!J13</f>
        <v>0.1</v>
      </c>
      <c r="K16" s="157">
        <f>KPIs!K13</f>
        <v>0.09</v>
      </c>
      <c r="L16" s="157">
        <f>KPIs!L13</f>
        <v>0.08</v>
      </c>
      <c r="M16" s="157">
        <f>KPIs!M13</f>
        <v>7.0000000000000007E-2</v>
      </c>
      <c r="N16" s="157">
        <f>KPIs!N13</f>
        <v>0.06</v>
      </c>
      <c r="O16" s="157">
        <f>KPIs!O13</f>
        <v>0.05</v>
      </c>
      <c r="P16" s="158">
        <f>KPIs!P13</f>
        <v>0.04</v>
      </c>
      <c r="Q16" s="80"/>
      <c r="R16" s="86">
        <f t="shared" si="2"/>
        <v>-0.11111111111111105</v>
      </c>
      <c r="S16" s="87"/>
      <c r="T16" s="163">
        <f t="shared" ref="T16" si="3">IF($E$5=$R$4,E16,IF($F$5=$R$4,F16,IF($G$5=$R$4,G16,IF($H$5=$R$4,H16,IF($I$5=$R$4,I16,IF($J$5=$R$4,J16,IF($K$5=$R$4,K16,IF($L$5=$R$4,L16,IF($M$5=$R$4,M16,IF($N$5=$R$4,N16,IF($O$5=$R$4,O16,P16)))))))))))</f>
        <v>0.08</v>
      </c>
      <c r="U16" s="163"/>
      <c r="V16" s="163">
        <f t="shared" ref="V16" si="4">(IF($R$4=$E$5,E16,IF($R$4=$F$5,E16,IF($R$4=$G$5,F16,IF($R$4=$H$5,G16,IF($R$4=$I$5,H16,IF($R$4=$J$5,I16,IF($R$4=$K$5,J16,IF($R$4=$L$5,K16,IF($R$4=$M$5,L16,IF($R$4=$N$5,M16,IF($R$4=$O$5,N16,IF($R$4=$P$5,O16,"")))))))))))))</f>
        <v>0.09</v>
      </c>
    </row>
    <row r="17" spans="2:22" x14ac:dyDescent="0.3">
      <c r="B17" s="156">
        <v>12</v>
      </c>
      <c r="C17" s="230" t="str">
        <f>KPIs!C14</f>
        <v>HCRI</v>
      </c>
      <c r="D17" s="231"/>
      <c r="E17" s="71">
        <f>KPIs!E14</f>
        <v>0.9</v>
      </c>
      <c r="F17" s="71">
        <f>KPIs!F14</f>
        <v>0.97</v>
      </c>
      <c r="G17" s="71">
        <f>KPIs!G14</f>
        <v>0.87</v>
      </c>
      <c r="H17" s="71">
        <f>KPIs!H14</f>
        <v>0.89</v>
      </c>
      <c r="I17" s="53">
        <f>KPIs!I14</f>
        <v>0.9</v>
      </c>
      <c r="J17" s="53">
        <f>KPIs!J14</f>
        <v>0.86</v>
      </c>
      <c r="K17" s="53">
        <f>KPIs!K14</f>
        <v>0.88</v>
      </c>
      <c r="L17" s="53">
        <f>KPIs!L14</f>
        <v>0.92</v>
      </c>
      <c r="M17" s="53">
        <f>KPIs!M14</f>
        <v>0.93</v>
      </c>
      <c r="N17" s="53">
        <f>KPIs!N14</f>
        <v>0.89</v>
      </c>
      <c r="O17" s="53">
        <f>KPIs!O14</f>
        <v>0.92</v>
      </c>
      <c r="P17" s="54">
        <f>KPIs!P14</f>
        <v>0.94</v>
      </c>
      <c r="Q17" s="80"/>
      <c r="R17" s="86">
        <f t="shared" si="2"/>
        <v>4.5454545454545414E-2</v>
      </c>
      <c r="S17" s="87"/>
      <c r="T17" s="89">
        <f t="shared" ref="T17" si="5">IF($E$5=$R$4,E17,IF($F$5=$R$4,F17,IF($G$5=$R$4,G17,IF($H$5=$R$4,H17,IF($I$5=$R$4,I17,IF($J$5=$R$4,J17,IF($K$5=$R$4,K17,IF($L$5=$R$4,L17,IF($M$5=$R$4,M17,IF($N$5=$R$4,N17,IF($O$5=$R$4,O17,P17)))))))))))</f>
        <v>0.92</v>
      </c>
      <c r="U17" s="89"/>
      <c r="V17" s="89">
        <f t="shared" ref="V17" si="6">(IF($R$4=$E$5,E17,IF($R$4=$F$5,E17,IF($R$4=$G$5,F17,IF($R$4=$H$5,G17,IF($R$4=$I$5,H17,IF($R$4=$J$5,I17,IF($R$4=$K$5,J17,IF($R$4=$L$5,K17,IF($R$4=$M$5,L17,IF($R$4=$N$5,M17,IF($R$4=$O$5,N17,IF($R$4=$P$5,O17,"")))))))))))))</f>
        <v>0.88</v>
      </c>
    </row>
    <row r="18" spans="2:22" ht="1.95" customHeight="1" thickBot="1" x14ac:dyDescent="0.35">
      <c r="B18" s="152"/>
      <c r="C18" s="153"/>
      <c r="D18" s="154"/>
      <c r="E18" s="148"/>
      <c r="F18" s="148"/>
      <c r="G18" s="148"/>
      <c r="H18" s="148"/>
      <c r="I18" s="148"/>
      <c r="J18" s="148"/>
      <c r="K18" s="148"/>
      <c r="L18" s="148"/>
      <c r="M18" s="148"/>
      <c r="N18" s="148"/>
      <c r="O18" s="148"/>
      <c r="P18" s="155"/>
      <c r="Q18" s="80"/>
      <c r="R18" s="86"/>
      <c r="S18" s="87"/>
      <c r="T18" s="89"/>
      <c r="U18" s="89"/>
      <c r="V18" s="89"/>
    </row>
    <row r="19" spans="2:22" x14ac:dyDescent="0.3">
      <c r="B19" s="232" t="str">
        <f>KPIs!B15</f>
        <v>Progress Chart</v>
      </c>
      <c r="C19" s="235" t="str">
        <f>KPIs!C15</f>
        <v>90-day quit rate (%)</v>
      </c>
      <c r="D19" s="236"/>
      <c r="E19" s="159">
        <f>KPIs!E15</f>
        <v>0.18</v>
      </c>
      <c r="F19" s="159">
        <f>KPIs!F15</f>
        <v>0.15</v>
      </c>
      <c r="G19" s="159">
        <f>KPIs!G15</f>
        <v>0.08</v>
      </c>
      <c r="H19" s="159">
        <f>KPIs!H15</f>
        <v>0.09</v>
      </c>
      <c r="I19" s="159">
        <f>KPIs!I15</f>
        <v>0.12</v>
      </c>
      <c r="J19" s="159">
        <f>KPIs!J15</f>
        <v>0.05</v>
      </c>
      <c r="K19" s="159">
        <f>KPIs!K15</f>
        <v>0.1</v>
      </c>
      <c r="L19" s="159">
        <f>KPIs!L15</f>
        <v>0.16</v>
      </c>
      <c r="M19" s="159">
        <f>KPIs!M15</f>
        <v>0.12</v>
      </c>
      <c r="N19" s="159">
        <f>KPIs!N15</f>
        <v>0.09</v>
      </c>
      <c r="O19" s="159">
        <f>KPIs!O15</f>
        <v>0.15</v>
      </c>
      <c r="P19" s="160">
        <f>KPIs!P15</f>
        <v>0.11</v>
      </c>
      <c r="Q19" s="80"/>
      <c r="R19" s="136">
        <f t="shared" si="2"/>
        <v>0.59999999999999987</v>
      </c>
      <c r="S19" s="137"/>
      <c r="T19" s="138">
        <f t="shared" ref="T19:T24" si="7">IF($E$5=$R$4,E19,IF($F$5=$R$4,F19,IF($G$5=$R$4,G19,IF($H$5=$R$4,H19,IF($I$5=$R$4,I19,IF($J$5=$R$4,J19,IF($K$5=$R$4,K19,IF($L$5=$R$4,L19,IF($M$5=$R$4,M19,IF($N$5=$R$4,N19,IF($O$5=$R$4,O19,P19)))))))))))</f>
        <v>0.16</v>
      </c>
      <c r="U19" s="138"/>
      <c r="V19" s="138">
        <f t="shared" ref="V19:V24" si="8">(IF($R$4=$E$5,E19,IF($R$4=$F$5,E19,IF($R$4=$G$5,F19,IF($R$4=$H$5,G19,IF($R$4=$I$5,H19,IF($R$4=$J$5,I19,IF($R$4=$K$5,J19,IF($R$4=$L$5,K19,IF($R$4=$M$5,L19,IF($R$4=$N$5,M19,IF($R$4=$O$5,N19,IF($R$4=$P$5,O19,"")))))))))))))</f>
        <v>0.1</v>
      </c>
    </row>
    <row r="20" spans="2:22" x14ac:dyDescent="0.3">
      <c r="B20" s="233"/>
      <c r="C20" s="237" t="str">
        <f>KPIs!C16</f>
        <v>Training effectiveness (%)</v>
      </c>
      <c r="D20" s="238"/>
      <c r="E20" s="129">
        <f>KPIs!E16</f>
        <v>0.85</v>
      </c>
      <c r="F20" s="129">
        <f>KPIs!F16</f>
        <v>0.79669999999999996</v>
      </c>
      <c r="G20" s="129">
        <f>KPIs!G16</f>
        <v>0.45760000000000001</v>
      </c>
      <c r="H20" s="129">
        <f>KPIs!H16</f>
        <v>0.48</v>
      </c>
      <c r="I20" s="129">
        <f>KPIs!I16</f>
        <v>0.72929999999999995</v>
      </c>
      <c r="J20" s="129">
        <f>KPIs!J16</f>
        <v>0.68330000000000002</v>
      </c>
      <c r="K20" s="129">
        <f>KPIs!K16</f>
        <v>0.5998</v>
      </c>
      <c r="L20" s="129">
        <f>KPIs!L16</f>
        <v>0.61129999999999995</v>
      </c>
      <c r="M20" s="129">
        <f>KPIs!M16</f>
        <v>0.67800000000000005</v>
      </c>
      <c r="N20" s="129">
        <f>KPIs!N16</f>
        <v>0.76700000000000002</v>
      </c>
      <c r="O20" s="129">
        <f>KPIs!O16</f>
        <v>0.871</v>
      </c>
      <c r="P20" s="130">
        <f>KPIs!P16</f>
        <v>0.92330000000000001</v>
      </c>
      <c r="Q20" s="80"/>
      <c r="R20" s="90">
        <f t="shared" si="2"/>
        <v>1.9173057685895278E-2</v>
      </c>
      <c r="S20" s="87"/>
      <c r="T20" s="88">
        <f t="shared" si="7"/>
        <v>0.61129999999999995</v>
      </c>
      <c r="U20" s="88"/>
      <c r="V20" s="88">
        <f t="shared" si="8"/>
        <v>0.5998</v>
      </c>
    </row>
    <row r="21" spans="2:22" ht="15" thickBot="1" x14ac:dyDescent="0.35">
      <c r="B21" s="234"/>
      <c r="C21" s="239" t="str">
        <f>KPIs!C17</f>
        <v>Acceptance Ratio (%)</v>
      </c>
      <c r="D21" s="240"/>
      <c r="E21" s="131">
        <f>KPIs!E17</f>
        <v>0.5</v>
      </c>
      <c r="F21" s="131">
        <f>KPIs!F17</f>
        <v>0.42</v>
      </c>
      <c r="G21" s="131">
        <f>KPIs!G17</f>
        <v>0.38</v>
      </c>
      <c r="H21" s="131">
        <f>KPIs!H17</f>
        <v>0.67</v>
      </c>
      <c r="I21" s="131">
        <f>KPIs!I17</f>
        <v>0.37</v>
      </c>
      <c r="J21" s="131">
        <f>KPIs!J17</f>
        <v>0.56999999999999995</v>
      </c>
      <c r="K21" s="131">
        <f>KPIs!K17</f>
        <v>0.92</v>
      </c>
      <c r="L21" s="131">
        <f>KPIs!L17</f>
        <v>0.9</v>
      </c>
      <c r="M21" s="131">
        <f>KPIs!M17</f>
        <v>0.71</v>
      </c>
      <c r="N21" s="131">
        <f>KPIs!N17</f>
        <v>0.31</v>
      </c>
      <c r="O21" s="131">
        <f>KPIs!O17</f>
        <v>0.68</v>
      </c>
      <c r="P21" s="132">
        <f>KPIs!P17</f>
        <v>0.81</v>
      </c>
      <c r="Q21" s="80"/>
      <c r="R21" s="139">
        <f t="shared" si="2"/>
        <v>-2.1739130434782594E-2</v>
      </c>
      <c r="S21" s="140"/>
      <c r="T21" s="141">
        <f t="shared" si="7"/>
        <v>0.9</v>
      </c>
      <c r="U21" s="141"/>
      <c r="V21" s="141">
        <f t="shared" si="8"/>
        <v>0.92</v>
      </c>
    </row>
    <row r="22" spans="2:22" x14ac:dyDescent="0.3">
      <c r="B22" s="220" t="str">
        <f>KPIs!B18</f>
        <v>Chart</v>
      </c>
      <c r="C22" s="247" t="str">
        <f>KPIs!C18</f>
        <v>Male</v>
      </c>
      <c r="D22" s="247"/>
      <c r="E22" s="77">
        <f>KPIs!E18</f>
        <v>16</v>
      </c>
      <c r="F22" s="77">
        <f>KPIs!F18</f>
        <v>20</v>
      </c>
      <c r="G22" s="77">
        <f>KPIs!G18</f>
        <v>18</v>
      </c>
      <c r="H22" s="77">
        <f>KPIs!H18</f>
        <v>18</v>
      </c>
      <c r="I22" s="77">
        <f>KPIs!I18</f>
        <v>16</v>
      </c>
      <c r="J22" s="77">
        <f>KPIs!J18</f>
        <v>16</v>
      </c>
      <c r="K22" s="77">
        <f>KPIs!K18</f>
        <v>15</v>
      </c>
      <c r="L22" s="77">
        <f>KPIs!L18</f>
        <v>20</v>
      </c>
      <c r="M22" s="77">
        <f>KPIs!M18</f>
        <v>17</v>
      </c>
      <c r="N22" s="77">
        <f>KPIs!N18</f>
        <v>16</v>
      </c>
      <c r="O22" s="77">
        <f>KPIs!O18</f>
        <v>18</v>
      </c>
      <c r="P22" s="125">
        <f>KPIs!P18</f>
        <v>18</v>
      </c>
      <c r="Q22" s="80"/>
      <c r="R22" s="90">
        <f t="shared" si="2"/>
        <v>0.33333333333333326</v>
      </c>
      <c r="S22" s="87"/>
      <c r="T22" s="89">
        <f t="shared" si="7"/>
        <v>20</v>
      </c>
      <c r="U22" s="88"/>
      <c r="V22" s="89">
        <f t="shared" si="8"/>
        <v>15</v>
      </c>
    </row>
    <row r="23" spans="2:22" x14ac:dyDescent="0.3">
      <c r="B23" s="220"/>
      <c r="C23" s="248" t="str">
        <f>KPIs!C19</f>
        <v>Female</v>
      </c>
      <c r="D23" s="248"/>
      <c r="E23" s="79">
        <f>KPIs!E19</f>
        <v>17</v>
      </c>
      <c r="F23" s="79">
        <f>KPIs!F19</f>
        <v>20</v>
      </c>
      <c r="G23" s="79">
        <f>KPIs!G19</f>
        <v>15</v>
      </c>
      <c r="H23" s="79">
        <f>KPIs!H19</f>
        <v>18</v>
      </c>
      <c r="I23" s="79">
        <f>KPIs!I19</f>
        <v>16</v>
      </c>
      <c r="J23" s="79">
        <f>KPIs!J19</f>
        <v>16</v>
      </c>
      <c r="K23" s="79">
        <f>KPIs!K19</f>
        <v>20</v>
      </c>
      <c r="L23" s="79">
        <f>KPIs!L19</f>
        <v>15</v>
      </c>
      <c r="M23" s="79">
        <f>KPIs!M19</f>
        <v>20</v>
      </c>
      <c r="N23" s="79">
        <f>KPIs!N19</f>
        <v>20</v>
      </c>
      <c r="O23" s="79">
        <f>KPIs!O19</f>
        <v>18</v>
      </c>
      <c r="P23" s="126">
        <f>KPIs!P19</f>
        <v>17</v>
      </c>
      <c r="Q23" s="80"/>
      <c r="R23" s="90">
        <f t="shared" si="2"/>
        <v>-0.25</v>
      </c>
      <c r="S23" s="87"/>
      <c r="T23" s="89">
        <f t="shared" si="7"/>
        <v>15</v>
      </c>
      <c r="U23" s="88"/>
      <c r="V23" s="89">
        <f t="shared" si="8"/>
        <v>20</v>
      </c>
    </row>
    <row r="24" spans="2:22" x14ac:dyDescent="0.3">
      <c r="B24" s="221"/>
      <c r="C24" s="249" t="str">
        <f>KPIs!C20</f>
        <v>Headcount</v>
      </c>
      <c r="D24" s="249"/>
      <c r="E24" s="58">
        <f>KPIs!E20</f>
        <v>33</v>
      </c>
      <c r="F24" s="58">
        <f>KPIs!F20</f>
        <v>40</v>
      </c>
      <c r="G24" s="58">
        <f>KPIs!G20</f>
        <v>33</v>
      </c>
      <c r="H24" s="58">
        <f>KPIs!H20</f>
        <v>36</v>
      </c>
      <c r="I24" s="58">
        <f>KPIs!I20</f>
        <v>32</v>
      </c>
      <c r="J24" s="58">
        <f>KPIs!J20</f>
        <v>32</v>
      </c>
      <c r="K24" s="58">
        <f>KPIs!K20</f>
        <v>35</v>
      </c>
      <c r="L24" s="58">
        <f>KPIs!L20</f>
        <v>35</v>
      </c>
      <c r="M24" s="58">
        <f>KPIs!M20</f>
        <v>37</v>
      </c>
      <c r="N24" s="58">
        <f>KPIs!N20</f>
        <v>36</v>
      </c>
      <c r="O24" s="58">
        <f>KPIs!O20</f>
        <v>36</v>
      </c>
      <c r="P24" s="59">
        <f>KPIs!P20</f>
        <v>35</v>
      </c>
      <c r="Q24" s="80"/>
      <c r="R24" s="90">
        <f t="shared" si="2"/>
        <v>0</v>
      </c>
      <c r="S24" s="87"/>
      <c r="T24" s="89">
        <f t="shared" si="7"/>
        <v>35</v>
      </c>
      <c r="U24" s="88"/>
      <c r="V24" s="89">
        <f t="shared" si="8"/>
        <v>35</v>
      </c>
    </row>
    <row r="25" spans="2:22" ht="7.5" customHeight="1" x14ac:dyDescent="0.3">
      <c r="B25" s="80"/>
      <c r="C25" s="80"/>
      <c r="D25" s="80"/>
      <c r="E25" s="80"/>
      <c r="F25" s="80"/>
      <c r="G25" s="80"/>
      <c r="H25" s="80"/>
      <c r="I25" s="80"/>
      <c r="J25" s="80"/>
      <c r="K25" s="80"/>
      <c r="L25" s="80"/>
      <c r="M25" s="80"/>
      <c r="N25" s="80"/>
      <c r="O25" s="80"/>
      <c r="P25" s="80"/>
      <c r="Q25" s="80"/>
      <c r="R25" s="80"/>
      <c r="S25" s="80"/>
      <c r="T25" s="80"/>
      <c r="U25" s="80"/>
      <c r="V25" s="80"/>
    </row>
    <row r="26" spans="2:22" ht="8.25" customHeight="1" x14ac:dyDescent="0.3">
      <c r="B26" s="80"/>
      <c r="C26" s="80"/>
      <c r="D26" s="80"/>
      <c r="E26" s="80"/>
      <c r="F26" s="80"/>
      <c r="G26" s="80"/>
      <c r="H26" s="80"/>
      <c r="I26" s="80"/>
      <c r="J26" s="80"/>
      <c r="K26" s="80"/>
      <c r="L26" s="80"/>
      <c r="M26" s="80"/>
      <c r="N26" s="80"/>
      <c r="O26" s="80"/>
      <c r="P26" s="80"/>
      <c r="Q26" s="80"/>
      <c r="R26" s="80"/>
      <c r="S26" s="80"/>
      <c r="T26" s="80"/>
      <c r="U26" s="80"/>
      <c r="V26" s="80"/>
    </row>
    <row r="27" spans="2:22" x14ac:dyDescent="0.3">
      <c r="B27" s="245" t="s">
        <v>39</v>
      </c>
      <c r="C27" s="246"/>
      <c r="D27" s="91"/>
      <c r="E27" s="91"/>
      <c r="F27" s="91"/>
      <c r="G27" s="91"/>
      <c r="H27" s="91"/>
      <c r="I27" s="91"/>
      <c r="J27" s="91"/>
      <c r="K27" s="91"/>
      <c r="L27" s="91"/>
      <c r="M27" s="91"/>
      <c r="N27" s="91"/>
      <c r="O27" s="91"/>
      <c r="P27" s="91"/>
      <c r="Q27" s="80"/>
      <c r="R27" s="80"/>
      <c r="S27" s="80"/>
      <c r="T27" s="80"/>
      <c r="U27" s="80"/>
      <c r="V27" s="80"/>
    </row>
    <row r="28" spans="2:22" x14ac:dyDescent="0.3">
      <c r="B28" s="223" t="s">
        <v>24</v>
      </c>
      <c r="C28" s="224"/>
      <c r="D28" s="91"/>
      <c r="E28" s="91"/>
      <c r="F28" s="223" t="s">
        <v>25</v>
      </c>
      <c r="G28" s="224"/>
      <c r="H28" s="224"/>
      <c r="I28" s="224"/>
      <c r="J28" s="91"/>
      <c r="K28" s="91"/>
      <c r="L28" s="223" t="str">
        <f>C21</f>
        <v>Acceptance Ratio (%)</v>
      </c>
      <c r="M28" s="224"/>
      <c r="N28" s="224"/>
      <c r="O28" s="224"/>
      <c r="P28" s="91"/>
      <c r="Q28" s="80"/>
      <c r="R28" s="92" t="s">
        <v>18</v>
      </c>
      <c r="S28" s="93"/>
      <c r="T28" s="80"/>
      <c r="U28" s="94"/>
      <c r="V28" s="80"/>
    </row>
    <row r="29" spans="2:22" x14ac:dyDescent="0.3">
      <c r="B29" s="133" t="s">
        <v>37</v>
      </c>
      <c r="C29" s="134"/>
      <c r="D29" s="47">
        <f>T19</f>
        <v>0.16</v>
      </c>
      <c r="E29" s="91"/>
      <c r="F29" s="225" t="s">
        <v>37</v>
      </c>
      <c r="G29" s="226"/>
      <c r="H29" s="226"/>
      <c r="I29" s="226"/>
      <c r="J29" s="47">
        <f>T20</f>
        <v>0.61129999999999995</v>
      </c>
      <c r="K29" s="91"/>
      <c r="L29" s="225" t="s">
        <v>37</v>
      </c>
      <c r="M29" s="226"/>
      <c r="N29" s="226"/>
      <c r="O29" s="226"/>
      <c r="P29" s="47">
        <f>T21</f>
        <v>0.9</v>
      </c>
      <c r="Q29" s="80"/>
      <c r="R29" s="135">
        <f>T22</f>
        <v>20</v>
      </c>
      <c r="S29" s="80"/>
      <c r="T29" s="80" t="s">
        <v>31</v>
      </c>
      <c r="U29" s="80"/>
      <c r="V29" s="80"/>
    </row>
    <row r="30" spans="2:22" x14ac:dyDescent="0.3">
      <c r="B30" s="133" t="s">
        <v>54</v>
      </c>
      <c r="C30" s="134"/>
      <c r="D30" s="47">
        <f>100%-D29</f>
        <v>0.84</v>
      </c>
      <c r="E30" s="91"/>
      <c r="F30" s="225" t="s">
        <v>54</v>
      </c>
      <c r="G30" s="226"/>
      <c r="H30" s="226"/>
      <c r="I30" s="226"/>
      <c r="J30" s="47">
        <f>100%-J29</f>
        <v>0.38870000000000005</v>
      </c>
      <c r="K30" s="91"/>
      <c r="L30" s="225" t="s">
        <v>54</v>
      </c>
      <c r="M30" s="226"/>
      <c r="N30" s="226"/>
      <c r="O30" s="226"/>
      <c r="P30" s="47">
        <f>100%-P29</f>
        <v>9.9999999999999978E-2</v>
      </c>
      <c r="Q30" s="80"/>
      <c r="R30" s="135">
        <f>T23</f>
        <v>15</v>
      </c>
      <c r="S30" s="80"/>
      <c r="T30" s="80" t="s">
        <v>29</v>
      </c>
      <c r="U30" s="80"/>
      <c r="V30" s="80"/>
    </row>
    <row r="31" spans="2:22" x14ac:dyDescent="0.3">
      <c r="B31" s="80"/>
      <c r="C31" s="80"/>
      <c r="D31" s="80"/>
      <c r="E31" s="80"/>
      <c r="F31" s="80"/>
      <c r="G31" s="80"/>
      <c r="H31" s="80"/>
      <c r="I31" s="80"/>
      <c r="J31" s="80"/>
      <c r="K31" s="80"/>
      <c r="L31" s="80"/>
      <c r="M31" s="80"/>
      <c r="N31" s="80"/>
      <c r="O31" s="80"/>
      <c r="P31" s="80"/>
      <c r="Q31" s="80"/>
      <c r="R31" s="80"/>
      <c r="S31" s="80"/>
      <c r="T31" s="80"/>
      <c r="U31" s="80"/>
      <c r="V31" s="80"/>
    </row>
    <row r="32" spans="2:22" x14ac:dyDescent="0.3">
      <c r="B32" s="80"/>
      <c r="C32" s="80"/>
      <c r="D32" s="80"/>
      <c r="E32" s="80"/>
      <c r="F32" s="80"/>
      <c r="G32" s="80"/>
      <c r="H32" s="80"/>
      <c r="I32" s="80"/>
      <c r="J32" s="80"/>
      <c r="K32" s="80"/>
      <c r="L32" s="80"/>
      <c r="M32" s="80"/>
      <c r="N32" s="80"/>
      <c r="O32" s="80"/>
      <c r="P32" s="80"/>
      <c r="Q32" s="80"/>
      <c r="R32" s="80"/>
      <c r="S32" s="80"/>
      <c r="T32" s="80"/>
      <c r="U32" s="80"/>
      <c r="V32" s="80"/>
    </row>
    <row r="33" spans="2:22" x14ac:dyDescent="0.3">
      <c r="B33" s="80"/>
      <c r="C33" s="80"/>
      <c r="D33" s="80"/>
      <c r="E33" s="80"/>
      <c r="F33" s="80"/>
      <c r="G33" s="80"/>
      <c r="H33" s="80"/>
      <c r="I33" s="80"/>
      <c r="J33" s="80"/>
      <c r="K33" s="80"/>
      <c r="L33" s="80"/>
      <c r="M33" s="80"/>
      <c r="N33" s="80"/>
      <c r="O33" s="80"/>
      <c r="P33" s="80"/>
      <c r="Q33" s="80"/>
      <c r="R33" s="80"/>
      <c r="S33" s="80"/>
      <c r="T33" s="80"/>
      <c r="U33" s="80"/>
      <c r="V33" s="80"/>
    </row>
    <row r="34" spans="2:22" x14ac:dyDescent="0.3">
      <c r="B34" s="80"/>
      <c r="C34" s="80"/>
      <c r="D34" s="80"/>
      <c r="E34" s="80"/>
      <c r="F34" s="80"/>
      <c r="G34" s="80"/>
      <c r="H34" s="80"/>
      <c r="I34" s="80"/>
      <c r="J34" s="80"/>
      <c r="K34" s="80"/>
      <c r="L34" s="80"/>
      <c r="M34" s="80"/>
      <c r="N34" s="80"/>
      <c r="O34" s="80"/>
      <c r="P34" s="80"/>
      <c r="Q34" s="80"/>
      <c r="R34" s="80"/>
      <c r="S34" s="80"/>
      <c r="T34" s="80"/>
      <c r="U34" s="80"/>
      <c r="V34" s="80"/>
    </row>
    <row r="35" spans="2:22" x14ac:dyDescent="0.3">
      <c r="B35" s="80"/>
      <c r="C35" s="80"/>
      <c r="D35" s="80"/>
      <c r="E35" s="80"/>
      <c r="F35" s="80"/>
      <c r="G35" s="80"/>
      <c r="H35" s="80"/>
      <c r="I35" s="80"/>
      <c r="J35" s="80"/>
      <c r="K35" s="80"/>
      <c r="L35" s="80"/>
      <c r="M35" s="80"/>
      <c r="N35" s="80"/>
      <c r="O35" s="80"/>
      <c r="P35" s="80"/>
      <c r="Q35" s="80"/>
      <c r="R35" s="80"/>
      <c r="S35" s="80"/>
      <c r="T35" s="80"/>
      <c r="U35" s="80"/>
      <c r="V35" s="80"/>
    </row>
  </sheetData>
  <mergeCells count="30">
    <mergeCell ref="B28:C28"/>
    <mergeCell ref="B27:C27"/>
    <mergeCell ref="B22:B24"/>
    <mergeCell ref="C22:D22"/>
    <mergeCell ref="C23:D23"/>
    <mergeCell ref="C24:D24"/>
    <mergeCell ref="B19:B21"/>
    <mergeCell ref="C19:D19"/>
    <mergeCell ref="C20:D20"/>
    <mergeCell ref="C21:D21"/>
    <mergeCell ref="C10:D10"/>
    <mergeCell ref="C11:D11"/>
    <mergeCell ref="C12:D12"/>
    <mergeCell ref="C13:D13"/>
    <mergeCell ref="C14:D14"/>
    <mergeCell ref="C15:D15"/>
    <mergeCell ref="C16:D16"/>
    <mergeCell ref="C17:D17"/>
    <mergeCell ref="C5:D5"/>
    <mergeCell ref="C6:D6"/>
    <mergeCell ref="C7:D7"/>
    <mergeCell ref="C8:D8"/>
    <mergeCell ref="C9:D9"/>
    <mergeCell ref="G2:N3"/>
    <mergeCell ref="F28:I28"/>
    <mergeCell ref="F29:I29"/>
    <mergeCell ref="F30:I30"/>
    <mergeCell ref="L28:O28"/>
    <mergeCell ref="L29:O29"/>
    <mergeCell ref="L30:O30"/>
  </mergeCells>
  <conditionalFormatting sqref="T6:T24">
    <cfRule type="expression" dxfId="61" priority="72">
      <formula>$E$4=$F$4</formula>
    </cfRule>
    <cfRule type="expression" dxfId="60" priority="73">
      <formula>$E$4&lt;$F$4</formula>
    </cfRule>
    <cfRule type="expression" dxfId="59" priority="74">
      <formula>$E$4&gt;$F$4</formula>
    </cfRule>
  </conditionalFormatting>
  <conditionalFormatting sqref="V6:V24">
    <cfRule type="expression" dxfId="58" priority="57">
      <formula>$E$4=$F$4</formula>
    </cfRule>
    <cfRule type="expression" dxfId="57" priority="58">
      <formula>$E$4&lt;$F$4</formula>
    </cfRule>
    <cfRule type="expression" dxfId="56" priority="59">
      <formula>$E$4&gt;$F$4</formula>
    </cfRule>
  </conditionalFormatting>
  <conditionalFormatting sqref="R6">
    <cfRule type="expression" dxfId="55" priority="26">
      <formula>$R$6=0</formula>
    </cfRule>
    <cfRule type="expression" dxfId="54" priority="27">
      <formula>$R$6&lt;0</formula>
    </cfRule>
    <cfRule type="expression" dxfId="53" priority="28">
      <formula>$R$6&gt;0</formula>
    </cfRule>
  </conditionalFormatting>
  <conditionalFormatting sqref="R7">
    <cfRule type="expression" dxfId="52" priority="23">
      <formula>$R$7=0</formula>
    </cfRule>
    <cfRule type="expression" dxfId="51" priority="24">
      <formula>$R$7&gt;0</formula>
    </cfRule>
    <cfRule type="expression" dxfId="50" priority="25">
      <formula>$R$7&lt;0</formula>
    </cfRule>
  </conditionalFormatting>
  <conditionalFormatting sqref="R8">
    <cfRule type="expression" dxfId="49" priority="20">
      <formula>$R$8=0</formula>
    </cfRule>
    <cfRule type="expression" dxfId="48" priority="21">
      <formula>$R$8&lt;0</formula>
    </cfRule>
    <cfRule type="expression" dxfId="47" priority="22">
      <formula>$R$8&gt;0</formula>
    </cfRule>
  </conditionalFormatting>
  <conditionalFormatting sqref="R9:R10">
    <cfRule type="expression" dxfId="46" priority="17">
      <formula>$R$10=0</formula>
    </cfRule>
    <cfRule type="expression" dxfId="45" priority="18">
      <formula>$R$10&lt;0</formula>
    </cfRule>
    <cfRule type="expression" dxfId="44" priority="19">
      <formula>$R$10&gt;0</formula>
    </cfRule>
  </conditionalFormatting>
  <conditionalFormatting sqref="R11:R12">
    <cfRule type="expression" dxfId="43" priority="14">
      <formula>$R$12=0</formula>
    </cfRule>
    <cfRule type="expression" dxfId="42" priority="15">
      <formula>$R$12&lt;0</formula>
    </cfRule>
    <cfRule type="expression" dxfId="41" priority="16">
      <formula>$R$12&gt;0</formula>
    </cfRule>
  </conditionalFormatting>
  <conditionalFormatting sqref="R13">
    <cfRule type="expression" dxfId="40" priority="11">
      <formula>$R$13=0</formula>
    </cfRule>
    <cfRule type="expression" dxfId="39" priority="12">
      <formula>$R$13&gt;0</formula>
    </cfRule>
    <cfRule type="expression" dxfId="38" priority="13">
      <formula>$R$13&lt;0</formula>
    </cfRule>
  </conditionalFormatting>
  <conditionalFormatting sqref="R16">
    <cfRule type="expression" dxfId="37" priority="3">
      <formula>$R$16&gt;0</formula>
    </cfRule>
    <cfRule type="expression" dxfId="36" priority="4">
      <formula>$R$16=0</formula>
    </cfRule>
    <cfRule type="expression" dxfId="35" priority="7">
      <formula>$R$16&lt;0</formula>
    </cfRule>
  </conditionalFormatting>
  <conditionalFormatting sqref="R17:R18">
    <cfRule type="expression" dxfId="34" priority="1">
      <formula>$R$17&lt;0</formula>
    </cfRule>
    <cfRule type="expression" dxfId="33" priority="2">
      <formula>$R$17&gt;0</formula>
    </cfRule>
    <cfRule type="expression" dxfId="32" priority="5">
      <formula>$R$17=0</formula>
    </cfRule>
  </conditionalFormatting>
  <pageMargins left="0.7" right="0.7" top="0.75" bottom="0.75" header="0.3" footer="0.3"/>
  <pageSetup orientation="portrait" verticalDpi="36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sheetPr>
  <dimension ref="A1:CY107"/>
  <sheetViews>
    <sheetView showGridLines="0" zoomScale="80" zoomScaleNormal="80" workbookViewId="0">
      <selection activeCell="X3" sqref="X3"/>
    </sheetView>
  </sheetViews>
  <sheetFormatPr defaultColWidth="11.44140625" defaultRowHeight="14.4" x14ac:dyDescent="0.3"/>
  <cols>
    <col min="1" max="1" width="4" style="95" customWidth="1"/>
    <col min="2" max="2" width="10.44140625" style="99" customWidth="1"/>
    <col min="3" max="3" width="11.77734375" style="99" customWidth="1"/>
    <col min="4" max="4" width="2.21875" style="99" customWidth="1"/>
    <col min="5" max="5" width="1" style="99" customWidth="1"/>
    <col min="6" max="6" width="10.44140625" style="99" customWidth="1"/>
    <col min="7" max="7" width="4.44140625" style="99" customWidth="1"/>
    <col min="8" max="8" width="9.21875" style="99" customWidth="1"/>
    <col min="9" max="9" width="0.77734375" style="95" customWidth="1"/>
    <col min="10" max="10" width="0.21875" style="95" hidden="1" customWidth="1"/>
    <col min="11" max="11" width="1.21875" style="95" hidden="1" customWidth="1"/>
    <col min="12" max="13" width="10.44140625" style="99" customWidth="1"/>
    <col min="14" max="14" width="3.44140625" style="99" customWidth="1"/>
    <col min="15" max="15" width="0.77734375" style="99" customWidth="1"/>
    <col min="16" max="17" width="10.44140625" style="99" customWidth="1"/>
    <col min="18" max="18" width="8.88671875" style="99" customWidth="1"/>
    <col min="19" max="19" width="0.6640625" style="99" customWidth="1"/>
    <col min="20" max="20" width="11.44140625" style="99"/>
    <col min="21" max="21" width="11.44140625" style="99" customWidth="1"/>
    <col min="22" max="22" width="2.21875" style="95" customWidth="1"/>
    <col min="23" max="23" width="13.21875" style="99" customWidth="1"/>
    <col min="24" max="16384" width="11.44140625" style="99"/>
  </cols>
  <sheetData>
    <row r="1" spans="2:103" s="95" customFormat="1" ht="6.45" customHeight="1" x14ac:dyDescent="0.3">
      <c r="B1" s="263"/>
      <c r="C1" s="263"/>
      <c r="D1" s="263"/>
      <c r="E1" s="263"/>
      <c r="F1" s="263"/>
      <c r="L1" s="96"/>
      <c r="N1" s="264"/>
      <c r="O1" s="264"/>
      <c r="P1" s="264"/>
    </row>
    <row r="2" spans="2:103" s="95" customFormat="1" ht="6.45" customHeight="1" x14ac:dyDescent="0.3">
      <c r="B2" s="164"/>
      <c r="C2" s="164"/>
      <c r="D2" s="164"/>
      <c r="E2" s="164"/>
      <c r="F2" s="164"/>
      <c r="L2" s="96"/>
      <c r="N2" s="165"/>
      <c r="O2" s="165"/>
      <c r="P2" s="165"/>
    </row>
    <row r="3" spans="2:103" ht="16.95" customHeight="1" x14ac:dyDescent="0.3">
      <c r="B3" s="250" t="str">
        <f>'Variance Calculation'!C19</f>
        <v>90-day quit rate (%)</v>
      </c>
      <c r="C3" s="250"/>
      <c r="D3" s="97"/>
      <c r="E3" s="97"/>
      <c r="F3" s="250" t="str">
        <f>'Variance Calculation'!C20</f>
        <v>Training effectiveness (%)</v>
      </c>
      <c r="G3" s="250"/>
      <c r="H3" s="250"/>
      <c r="I3" s="97"/>
      <c r="J3" s="97"/>
      <c r="K3" s="97"/>
      <c r="L3" s="97"/>
      <c r="M3" s="97"/>
      <c r="N3" s="97"/>
      <c r="O3" s="97"/>
      <c r="P3" s="250" t="str">
        <f>'Variance Calculation'!C21</f>
        <v>Acceptance Ratio (%)</v>
      </c>
      <c r="Q3" s="250"/>
      <c r="R3" s="250"/>
      <c r="S3" s="97"/>
      <c r="T3" s="250" t="str">
        <f>'Variance Calculation'!C24</f>
        <v>Headcount</v>
      </c>
      <c r="U3" s="250"/>
      <c r="V3" s="98"/>
      <c r="W3" s="167" t="s">
        <v>87</v>
      </c>
      <c r="X3" s="168" t="s">
        <v>8</v>
      </c>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row>
    <row r="4" spans="2:103" ht="24" customHeight="1" x14ac:dyDescent="0.3">
      <c r="B4" s="97"/>
      <c r="C4" s="97"/>
      <c r="D4" s="97"/>
      <c r="E4" s="97"/>
      <c r="F4" s="97"/>
      <c r="G4" s="97"/>
      <c r="H4" s="97"/>
      <c r="I4" s="97"/>
      <c r="J4" s="97"/>
      <c r="K4" s="97"/>
      <c r="L4" s="97"/>
      <c r="M4" s="97"/>
      <c r="N4" s="97"/>
      <c r="O4" s="97"/>
      <c r="P4" s="97"/>
      <c r="Q4" s="97"/>
      <c r="R4" s="97"/>
      <c r="S4" s="97"/>
      <c r="T4" s="97"/>
      <c r="U4" s="97"/>
      <c r="V4" s="100"/>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row>
    <row r="5" spans="2:103" ht="14.25" customHeight="1" x14ac:dyDescent="0.3">
      <c r="B5" s="97"/>
      <c r="C5" s="97"/>
      <c r="D5" s="97"/>
      <c r="E5" s="97"/>
      <c r="F5" s="97"/>
      <c r="G5" s="97"/>
      <c r="H5" s="97"/>
      <c r="I5" s="97"/>
      <c r="J5" s="97"/>
      <c r="K5" s="97"/>
      <c r="L5" s="97"/>
      <c r="M5" s="97"/>
      <c r="N5" s="97"/>
      <c r="O5" s="97"/>
      <c r="P5" s="97"/>
      <c r="Q5" s="97"/>
      <c r="R5" s="97"/>
      <c r="S5" s="97"/>
      <c r="T5" s="97"/>
      <c r="U5" s="97"/>
      <c r="V5" s="100"/>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5"/>
      <c r="CW5" s="95"/>
      <c r="CX5" s="95"/>
      <c r="CY5" s="95"/>
    </row>
    <row r="6" spans="2:103" ht="33" customHeight="1" x14ac:dyDescent="0.3">
      <c r="B6" s="97"/>
      <c r="C6" s="97"/>
      <c r="D6" s="97"/>
      <c r="E6" s="97"/>
      <c r="F6" s="97"/>
      <c r="G6" s="97"/>
      <c r="H6" s="97"/>
      <c r="I6" s="97"/>
      <c r="J6" s="97"/>
      <c r="K6" s="97"/>
      <c r="L6" s="97"/>
      <c r="M6" s="97"/>
      <c r="N6" s="97"/>
      <c r="O6" s="97"/>
      <c r="P6" s="97"/>
      <c r="Q6" s="97"/>
      <c r="R6" s="97"/>
      <c r="S6" s="97"/>
      <c r="T6" s="97"/>
      <c r="U6" s="97"/>
      <c r="V6" s="100"/>
      <c r="W6" s="95"/>
      <c r="X6" s="95" t="s">
        <v>30</v>
      </c>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5"/>
      <c r="BY6" s="95"/>
      <c r="BZ6" s="95"/>
      <c r="CA6" s="95"/>
      <c r="CB6" s="95"/>
      <c r="CC6" s="95"/>
      <c r="CD6" s="95"/>
      <c r="CE6" s="95"/>
      <c r="CF6" s="95"/>
      <c r="CG6" s="95"/>
      <c r="CH6" s="95"/>
      <c r="CI6" s="95"/>
      <c r="CJ6" s="95"/>
      <c r="CK6" s="95"/>
      <c r="CL6" s="95"/>
      <c r="CM6" s="95"/>
      <c r="CN6" s="95"/>
      <c r="CO6" s="95"/>
      <c r="CP6" s="95"/>
      <c r="CQ6" s="95"/>
      <c r="CR6" s="95"/>
      <c r="CS6" s="95"/>
      <c r="CT6" s="95"/>
      <c r="CU6" s="95"/>
      <c r="CV6" s="95"/>
      <c r="CW6" s="95"/>
      <c r="CX6" s="95"/>
      <c r="CY6" s="95"/>
    </row>
    <row r="7" spans="2:103" s="95" customFormat="1" ht="3.75" customHeight="1" x14ac:dyDescent="0.3">
      <c r="L7" s="101"/>
      <c r="M7" s="101"/>
      <c r="N7" s="101"/>
      <c r="P7" s="101"/>
      <c r="Q7" s="101"/>
      <c r="R7" s="101"/>
      <c r="V7" s="100"/>
    </row>
    <row r="8" spans="2:103" ht="24" customHeight="1" x14ac:dyDescent="0.3">
      <c r="B8" s="250" t="str">
        <f>calc!C4</f>
        <v>Cost Per Hire</v>
      </c>
      <c r="C8" s="250"/>
      <c r="D8" s="250"/>
      <c r="E8" s="102"/>
      <c r="F8" s="250" t="str">
        <f>'Variance Calculation'!C7</f>
        <v>Time to Hire (days per hire)</v>
      </c>
      <c r="G8" s="250"/>
      <c r="H8" s="250"/>
      <c r="L8" s="250" t="str">
        <f>'Variance Calculation'!C8</f>
        <v>Quality of hire (out of 10)</v>
      </c>
      <c r="M8" s="250"/>
      <c r="N8" s="250"/>
      <c r="O8" s="103"/>
      <c r="P8" s="250" t="str">
        <f>'Variance Calculation'!C9</f>
        <v>Employee Net Promoter Score (%)</v>
      </c>
      <c r="Q8" s="250"/>
      <c r="R8" s="250"/>
      <c r="S8" s="103"/>
      <c r="T8" s="250" t="str">
        <f>'Variance Calculation'!C10</f>
        <v>Absenteeism Rate (%)</v>
      </c>
      <c r="U8" s="250"/>
      <c r="V8" s="100"/>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c r="CK8" s="95"/>
      <c r="CL8" s="95"/>
      <c r="CM8" s="95"/>
      <c r="CN8" s="95"/>
      <c r="CO8" s="95"/>
      <c r="CP8" s="95"/>
      <c r="CQ8" s="95"/>
      <c r="CR8" s="95"/>
      <c r="CS8" s="95"/>
      <c r="CT8" s="95"/>
      <c r="CU8" s="95"/>
      <c r="CV8" s="95"/>
      <c r="CW8" s="95"/>
      <c r="CX8" s="95"/>
      <c r="CY8" s="95"/>
    </row>
    <row r="9" spans="2:103" ht="9.75" customHeight="1" x14ac:dyDescent="0.3">
      <c r="B9" s="260">
        <f>KPIs!Q3</f>
        <v>4000</v>
      </c>
      <c r="C9" s="260"/>
      <c r="D9" s="260"/>
      <c r="E9" s="104"/>
      <c r="F9" s="261">
        <f>KPIs!Q4</f>
        <v>19</v>
      </c>
      <c r="G9" s="261"/>
      <c r="H9" s="261"/>
      <c r="I9" s="104"/>
      <c r="J9" s="104"/>
      <c r="K9" s="104"/>
      <c r="L9" s="262">
        <f>KPIs!Q5</f>
        <v>9</v>
      </c>
      <c r="M9" s="262"/>
      <c r="N9" s="262"/>
      <c r="O9" s="104"/>
      <c r="P9" s="252">
        <f>KPIs!Q6</f>
        <v>0.95</v>
      </c>
      <c r="Q9" s="252"/>
      <c r="R9" s="252"/>
      <c r="S9" s="104"/>
      <c r="T9" s="252">
        <f>KPIs!Q7</f>
        <v>0.09</v>
      </c>
      <c r="U9" s="252"/>
      <c r="V9" s="252"/>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c r="CK9" s="95"/>
      <c r="CL9" s="95"/>
      <c r="CM9" s="95"/>
      <c r="CN9" s="95"/>
      <c r="CO9" s="95"/>
      <c r="CP9" s="95"/>
      <c r="CQ9" s="95"/>
      <c r="CR9" s="95"/>
      <c r="CS9" s="95"/>
      <c r="CT9" s="95"/>
      <c r="CU9" s="95"/>
      <c r="CV9" s="95"/>
      <c r="CW9" s="95"/>
      <c r="CX9" s="95"/>
      <c r="CY9" s="95"/>
    </row>
    <row r="10" spans="2:103" ht="24" customHeight="1" x14ac:dyDescent="0.3">
      <c r="B10" s="260"/>
      <c r="C10" s="260"/>
      <c r="D10" s="260"/>
      <c r="E10" s="104"/>
      <c r="F10" s="261"/>
      <c r="G10" s="261"/>
      <c r="H10" s="261"/>
      <c r="I10" s="104"/>
      <c r="J10" s="104"/>
      <c r="K10" s="104"/>
      <c r="L10" s="262"/>
      <c r="M10" s="262"/>
      <c r="N10" s="262"/>
      <c r="O10" s="104"/>
      <c r="P10" s="252"/>
      <c r="Q10" s="252"/>
      <c r="R10" s="252"/>
      <c r="S10" s="104"/>
      <c r="T10" s="252"/>
      <c r="U10" s="252"/>
      <c r="V10" s="252"/>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c r="CK10" s="95"/>
      <c r="CL10" s="95"/>
      <c r="CM10" s="95"/>
      <c r="CN10" s="95"/>
      <c r="CO10" s="95"/>
      <c r="CP10" s="95"/>
      <c r="CQ10" s="95"/>
      <c r="CR10" s="95"/>
      <c r="CS10" s="95"/>
      <c r="CT10" s="95"/>
      <c r="CU10" s="95"/>
      <c r="CV10" s="95"/>
      <c r="CW10" s="95"/>
      <c r="CX10" s="95"/>
      <c r="CY10" s="95"/>
    </row>
    <row r="11" spans="2:103" ht="24" customHeight="1" x14ac:dyDescent="0.3">
      <c r="B11" s="105"/>
      <c r="C11" s="105"/>
      <c r="D11" s="105"/>
      <c r="E11" s="95"/>
      <c r="F11" s="106"/>
      <c r="G11" s="106"/>
      <c r="H11" s="106"/>
      <c r="L11" s="107"/>
      <c r="M11" s="107"/>
      <c r="N11" s="107"/>
      <c r="O11" s="95"/>
      <c r="P11" s="106"/>
      <c r="Q11" s="106"/>
      <c r="R11" s="106"/>
      <c r="S11" s="95"/>
      <c r="T11" s="108"/>
      <c r="U11" s="108"/>
      <c r="V11" s="100"/>
      <c r="W11" s="95"/>
      <c r="X11" s="95" t="s">
        <v>30</v>
      </c>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95"/>
      <c r="CL11" s="95"/>
      <c r="CM11" s="95"/>
      <c r="CN11" s="95"/>
      <c r="CO11" s="95"/>
      <c r="CP11" s="95"/>
      <c r="CQ11" s="95"/>
      <c r="CR11" s="95"/>
      <c r="CS11" s="95"/>
      <c r="CT11" s="95"/>
      <c r="CU11" s="95"/>
      <c r="CV11" s="95"/>
      <c r="CW11" s="95"/>
      <c r="CX11" s="95"/>
      <c r="CY11" s="95"/>
    </row>
    <row r="12" spans="2:103" ht="24" customHeight="1" x14ac:dyDescent="0.3">
      <c r="B12" s="253"/>
      <c r="C12" s="253"/>
      <c r="D12" s="253"/>
      <c r="E12" s="95"/>
      <c r="F12" s="259"/>
      <c r="G12" s="259"/>
      <c r="H12" s="259"/>
      <c r="L12" s="254"/>
      <c r="M12" s="255"/>
      <c r="N12" s="255"/>
      <c r="O12" s="95"/>
      <c r="P12" s="254"/>
      <c r="Q12" s="254"/>
      <c r="R12" s="254"/>
      <c r="S12" s="95"/>
      <c r="T12" s="254"/>
      <c r="U12" s="255"/>
      <c r="V12" s="100"/>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5"/>
      <c r="BY12" s="95"/>
      <c r="BZ12" s="95"/>
      <c r="CA12" s="95"/>
      <c r="CB12" s="95"/>
      <c r="CC12" s="95"/>
      <c r="CD12" s="95"/>
      <c r="CE12" s="95"/>
      <c r="CF12" s="95"/>
      <c r="CG12" s="95"/>
      <c r="CH12" s="95"/>
      <c r="CI12" s="95"/>
      <c r="CJ12" s="95"/>
      <c r="CK12" s="95"/>
      <c r="CL12" s="95"/>
      <c r="CM12" s="95"/>
      <c r="CN12" s="95"/>
      <c r="CO12" s="95"/>
      <c r="CP12" s="95"/>
      <c r="CQ12" s="95"/>
      <c r="CR12" s="95"/>
      <c r="CS12" s="95"/>
      <c r="CT12" s="95"/>
      <c r="CU12" s="95"/>
      <c r="CV12" s="95"/>
      <c r="CW12" s="95"/>
      <c r="CX12" s="95"/>
      <c r="CY12" s="95"/>
    </row>
    <row r="13" spans="2:103" s="95" customFormat="1" ht="2.25" customHeight="1" x14ac:dyDescent="0.3">
      <c r="T13" s="109"/>
      <c r="U13" s="109"/>
      <c r="V13" s="100"/>
    </row>
    <row r="14" spans="2:103" ht="24" customHeight="1" x14ac:dyDescent="0.3">
      <c r="B14" s="250" t="str">
        <f>'Variance Calculation'!C11</f>
        <v>Employee Growth Rate (%)</v>
      </c>
      <c r="C14" s="250"/>
      <c r="D14" s="250"/>
      <c r="E14" s="103"/>
      <c r="F14" s="250" t="str">
        <f>'Variance Calculation'!C12</f>
        <v>Employee Turnover Rate (%)</v>
      </c>
      <c r="G14" s="250"/>
      <c r="H14" s="250"/>
      <c r="I14" s="103"/>
      <c r="J14" s="103"/>
      <c r="K14" s="103"/>
      <c r="L14" s="250" t="str">
        <f>'Variance Calculation'!C13</f>
        <v>Salary Averages</v>
      </c>
      <c r="M14" s="250"/>
      <c r="N14" s="250"/>
      <c r="O14" s="103"/>
      <c r="P14" s="250" t="str">
        <f>'Variance Calculation'!C14</f>
        <v>Salary Range Penetration</v>
      </c>
      <c r="Q14" s="250"/>
      <c r="R14" s="250"/>
      <c r="S14" s="103"/>
      <c r="T14" s="250" t="str">
        <f>'Variance Calculation'!C15</f>
        <v>Diversity Ratio</v>
      </c>
      <c r="U14" s="250"/>
      <c r="V14" s="100"/>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CA14" s="95"/>
      <c r="CB14" s="95"/>
      <c r="CC14" s="95"/>
      <c r="CD14" s="95"/>
      <c r="CE14" s="95"/>
      <c r="CF14" s="95"/>
      <c r="CG14" s="95"/>
      <c r="CH14" s="95"/>
      <c r="CI14" s="95"/>
      <c r="CJ14" s="95"/>
      <c r="CK14" s="95"/>
      <c r="CL14" s="95"/>
      <c r="CM14" s="95"/>
      <c r="CN14" s="95"/>
      <c r="CO14" s="95"/>
      <c r="CP14" s="95"/>
      <c r="CQ14" s="95"/>
      <c r="CR14" s="95"/>
      <c r="CS14" s="95"/>
      <c r="CT14" s="95"/>
      <c r="CU14" s="95"/>
      <c r="CV14" s="95"/>
      <c r="CW14" s="95"/>
      <c r="CX14" s="95"/>
      <c r="CY14" s="95"/>
    </row>
    <row r="15" spans="2:103" ht="8.25" customHeight="1" x14ac:dyDescent="0.3">
      <c r="B15" s="251">
        <f>KPIs!Q8</f>
        <v>0.46</v>
      </c>
      <c r="C15" s="251"/>
      <c r="D15" s="251"/>
      <c r="E15" s="104"/>
      <c r="F15" s="251">
        <f>KPIs!Q9</f>
        <v>0.08</v>
      </c>
      <c r="G15" s="251"/>
      <c r="H15" s="251"/>
      <c r="I15" s="104"/>
      <c r="J15" s="104"/>
      <c r="K15" s="104"/>
      <c r="L15" s="257">
        <f>KPIs!Q10</f>
        <v>9500</v>
      </c>
      <c r="M15" s="257"/>
      <c r="N15" s="257"/>
      <c r="O15" s="104"/>
      <c r="P15" s="251">
        <f>KPIs!Q11</f>
        <v>0.57999999999999996</v>
      </c>
      <c r="Q15" s="251"/>
      <c r="R15" s="251"/>
      <c r="S15" s="104"/>
      <c r="T15" s="252">
        <f>KPIs!Q12</f>
        <v>0.45</v>
      </c>
      <c r="U15" s="252"/>
      <c r="V15" s="252"/>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5"/>
      <c r="CW15" s="95"/>
      <c r="CX15" s="95"/>
      <c r="CY15" s="95"/>
    </row>
    <row r="16" spans="2:103" ht="24" customHeight="1" x14ac:dyDescent="0.3">
      <c r="B16" s="252"/>
      <c r="C16" s="252"/>
      <c r="D16" s="252"/>
      <c r="E16" s="104"/>
      <c r="F16" s="252"/>
      <c r="G16" s="252"/>
      <c r="H16" s="252"/>
      <c r="I16" s="104"/>
      <c r="J16" s="104"/>
      <c r="K16" s="104"/>
      <c r="L16" s="258"/>
      <c r="M16" s="258"/>
      <c r="N16" s="258"/>
      <c r="O16" s="104"/>
      <c r="P16" s="252"/>
      <c r="Q16" s="252"/>
      <c r="R16" s="252"/>
      <c r="S16" s="104"/>
      <c r="T16" s="252"/>
      <c r="U16" s="252"/>
      <c r="V16" s="252"/>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5"/>
      <c r="CW16" s="95"/>
      <c r="CX16" s="95"/>
      <c r="CY16" s="95"/>
    </row>
    <row r="17" spans="2:103" ht="24" customHeight="1" x14ac:dyDescent="0.3">
      <c r="B17" s="110"/>
      <c r="C17" s="110"/>
      <c r="D17" s="110"/>
      <c r="E17" s="95"/>
      <c r="F17" s="108"/>
      <c r="G17" s="108"/>
      <c r="H17" s="108"/>
      <c r="L17" s="108"/>
      <c r="M17" s="108"/>
      <c r="N17" s="108"/>
      <c r="O17" s="95"/>
      <c r="P17" s="108"/>
      <c r="Q17" s="108"/>
      <c r="R17" s="108"/>
      <c r="S17" s="95"/>
      <c r="T17" s="111"/>
      <c r="U17" s="111"/>
      <c r="V17" s="100"/>
      <c r="W17" s="95"/>
      <c r="X17" s="95"/>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09"/>
      <c r="CQ17" s="109"/>
      <c r="CR17" s="109"/>
      <c r="CS17" s="109"/>
      <c r="CT17" s="109"/>
      <c r="CU17" s="109"/>
      <c r="CV17" s="109"/>
      <c r="CW17" s="109"/>
      <c r="CX17" s="109"/>
      <c r="CY17" s="109"/>
    </row>
    <row r="18" spans="2:103" ht="23.25" customHeight="1" x14ac:dyDescent="0.3">
      <c r="B18" s="253"/>
      <c r="C18" s="253"/>
      <c r="D18" s="253"/>
      <c r="E18" s="95"/>
      <c r="F18" s="254"/>
      <c r="G18" s="255"/>
      <c r="H18" s="255"/>
      <c r="L18" s="254"/>
      <c r="M18" s="255"/>
      <c r="N18" s="255"/>
      <c r="O18" s="95"/>
      <c r="P18" s="254"/>
      <c r="Q18" s="255"/>
      <c r="R18" s="255"/>
      <c r="S18" s="95"/>
      <c r="T18" s="254"/>
      <c r="U18" s="255"/>
      <c r="V18" s="100"/>
      <c r="W18" s="95"/>
      <c r="X18" s="95"/>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09"/>
      <c r="CQ18" s="109"/>
      <c r="CR18" s="109"/>
      <c r="CS18" s="109"/>
      <c r="CT18" s="109"/>
      <c r="CU18" s="109"/>
      <c r="CV18" s="109"/>
      <c r="CW18" s="109"/>
      <c r="CX18" s="109"/>
      <c r="CY18" s="109"/>
    </row>
    <row r="19" spans="2:103" s="95" customFormat="1" ht="3.75" customHeight="1" x14ac:dyDescent="0.3">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row>
    <row r="20" spans="2:103" s="95" customFormat="1" ht="24" customHeight="1" x14ac:dyDescent="0.3">
      <c r="B20" s="256" t="str">
        <f>'Variance Calculation'!C16</f>
        <v>Attrition Risk (Critical Staff)</v>
      </c>
      <c r="C20" s="256"/>
      <c r="D20" s="256"/>
      <c r="F20" s="256" t="str">
        <f>'Variance Calculation'!C17</f>
        <v>HCRI</v>
      </c>
      <c r="G20" s="256"/>
      <c r="H20" s="256"/>
      <c r="U20" s="109"/>
      <c r="V20" s="109"/>
      <c r="W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09"/>
      <c r="CQ20" s="109"/>
      <c r="CR20" s="109"/>
      <c r="CS20" s="109"/>
      <c r="CT20" s="109"/>
      <c r="CU20" s="109"/>
      <c r="CV20" s="109"/>
      <c r="CW20" s="109"/>
      <c r="CX20" s="109"/>
      <c r="CY20" s="109"/>
    </row>
    <row r="21" spans="2:103" s="95" customFormat="1" ht="6.75" customHeight="1" x14ac:dyDescent="0.3">
      <c r="B21" s="251">
        <f>KPIs!Q13</f>
        <v>0.08</v>
      </c>
      <c r="C21" s="251"/>
      <c r="D21" s="251"/>
      <c r="F21" s="251">
        <f>KPIs!Q14</f>
        <v>0.92</v>
      </c>
      <c r="G21" s="251"/>
      <c r="H21" s="251"/>
      <c r="U21" s="109"/>
      <c r="V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09"/>
      <c r="CJ21" s="109"/>
      <c r="CK21" s="109"/>
      <c r="CL21" s="109"/>
      <c r="CM21" s="109"/>
      <c r="CN21" s="109"/>
      <c r="CO21" s="109"/>
      <c r="CP21" s="109"/>
      <c r="CQ21" s="109"/>
      <c r="CR21" s="109"/>
      <c r="CS21" s="109"/>
      <c r="CT21" s="109"/>
      <c r="CU21" s="109"/>
      <c r="CV21" s="109"/>
      <c r="CW21" s="109"/>
      <c r="CX21" s="109"/>
      <c r="CY21" s="109"/>
    </row>
    <row r="22" spans="2:103" s="95" customFormat="1" ht="24" customHeight="1" x14ac:dyDescent="0.3">
      <c r="B22" s="252"/>
      <c r="C22" s="252"/>
      <c r="D22" s="252"/>
      <c r="F22" s="252"/>
      <c r="G22" s="252"/>
      <c r="H22" s="252"/>
      <c r="U22" s="109"/>
      <c r="V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row>
    <row r="23" spans="2:103" s="95" customFormat="1" ht="24" customHeight="1" x14ac:dyDescent="0.3">
      <c r="B23" s="111"/>
      <c r="C23" s="111"/>
      <c r="D23" s="100"/>
      <c r="F23" s="111"/>
      <c r="G23" s="111"/>
      <c r="H23" s="100"/>
      <c r="U23" s="109"/>
      <c r="V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row>
    <row r="24" spans="2:103" s="95" customFormat="1" ht="24" customHeight="1" x14ac:dyDescent="0.3">
      <c r="B24" s="254"/>
      <c r="C24" s="255"/>
      <c r="D24" s="100"/>
      <c r="F24" s="254"/>
      <c r="G24" s="255"/>
      <c r="H24" s="100"/>
      <c r="U24" s="109"/>
      <c r="V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row>
    <row r="25" spans="2:103" s="95" customFormat="1" ht="24" customHeight="1" x14ac:dyDescent="0.3">
      <c r="T25" s="109"/>
      <c r="U25" s="109"/>
      <c r="V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row>
    <row r="26" spans="2:103" s="95" customFormat="1" ht="24" customHeight="1" x14ac:dyDescent="0.3">
      <c r="T26" s="109"/>
      <c r="U26" s="109"/>
    </row>
    <row r="27" spans="2:103" ht="24" customHeight="1" x14ac:dyDescent="0.3">
      <c r="B27" s="95"/>
      <c r="C27" s="95"/>
      <c r="D27" s="95"/>
      <c r="E27" s="95"/>
      <c r="F27" s="95"/>
      <c r="G27" s="95"/>
      <c r="H27" s="95"/>
      <c r="L27" s="95"/>
      <c r="M27" s="95"/>
      <c r="N27" s="95"/>
      <c r="O27" s="95"/>
      <c r="P27" s="95"/>
      <c r="Q27" s="95"/>
      <c r="R27" s="95"/>
      <c r="S27" s="95"/>
      <c r="T27" s="109"/>
      <c r="U27" s="109"/>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5"/>
      <c r="BY27" s="95"/>
      <c r="BZ27" s="95"/>
      <c r="CA27" s="95"/>
      <c r="CB27" s="95"/>
      <c r="CC27" s="95"/>
      <c r="CD27" s="95"/>
      <c r="CE27" s="95"/>
      <c r="CF27" s="95"/>
      <c r="CG27" s="95"/>
      <c r="CH27" s="95"/>
      <c r="CI27" s="95"/>
      <c r="CJ27" s="95"/>
      <c r="CK27" s="95"/>
      <c r="CL27" s="95"/>
      <c r="CM27" s="95"/>
      <c r="CN27" s="95"/>
      <c r="CO27" s="95"/>
      <c r="CP27" s="95"/>
      <c r="CQ27" s="95"/>
      <c r="CR27" s="95"/>
      <c r="CS27" s="95"/>
      <c r="CT27" s="95"/>
      <c r="CU27" s="95"/>
      <c r="CV27" s="95"/>
      <c r="CW27" s="95"/>
      <c r="CX27" s="95"/>
      <c r="CY27" s="95"/>
    </row>
    <row r="28" spans="2:103" ht="24" customHeight="1" x14ac:dyDescent="0.3">
      <c r="B28" s="95"/>
      <c r="C28" s="95"/>
      <c r="D28" s="95"/>
      <c r="E28" s="95"/>
      <c r="F28" s="95"/>
      <c r="G28" s="95"/>
      <c r="H28" s="95"/>
      <c r="L28" s="95"/>
      <c r="M28" s="95"/>
      <c r="N28" s="95"/>
      <c r="O28" s="95"/>
      <c r="P28" s="95"/>
      <c r="Q28" s="95"/>
      <c r="R28" s="95"/>
      <c r="S28" s="95"/>
      <c r="T28" s="95"/>
      <c r="U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5"/>
      <c r="CW28" s="95"/>
      <c r="CX28" s="95"/>
      <c r="CY28" s="95"/>
    </row>
    <row r="29" spans="2:103" ht="24" customHeight="1" x14ac:dyDescent="0.3">
      <c r="B29" s="95"/>
      <c r="C29" s="95"/>
      <c r="D29" s="95"/>
      <c r="E29" s="95"/>
      <c r="F29" s="95"/>
      <c r="G29" s="95"/>
      <c r="H29" s="95"/>
      <c r="L29" s="95"/>
      <c r="M29" s="95"/>
      <c r="N29" s="95"/>
      <c r="O29" s="95"/>
      <c r="P29" s="95"/>
      <c r="Q29" s="95"/>
      <c r="R29" s="95"/>
      <c r="S29" s="95"/>
      <c r="T29" s="95"/>
      <c r="U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5"/>
      <c r="CJ29" s="95"/>
      <c r="CK29" s="95"/>
      <c r="CL29" s="95"/>
      <c r="CM29" s="95"/>
      <c r="CN29" s="95"/>
      <c r="CO29" s="95"/>
      <c r="CP29" s="95"/>
      <c r="CQ29" s="95"/>
      <c r="CR29" s="95"/>
      <c r="CS29" s="95"/>
      <c r="CT29" s="95"/>
      <c r="CU29" s="95"/>
      <c r="CV29" s="95"/>
      <c r="CW29" s="95"/>
      <c r="CX29" s="95"/>
      <c r="CY29" s="95"/>
    </row>
    <row r="30" spans="2:103" ht="24" customHeight="1" x14ac:dyDescent="0.3">
      <c r="B30" s="95"/>
      <c r="C30" s="95"/>
      <c r="D30" s="95"/>
      <c r="E30" s="95"/>
      <c r="F30" s="95"/>
      <c r="G30" s="95"/>
      <c r="H30" s="95"/>
      <c r="L30" s="95"/>
      <c r="M30" s="95"/>
      <c r="N30" s="95"/>
      <c r="O30" s="95"/>
      <c r="P30" s="95"/>
      <c r="Q30" s="95"/>
      <c r="R30" s="95"/>
      <c r="S30" s="95"/>
      <c r="T30" s="95"/>
      <c r="U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5"/>
      <c r="CW30" s="95"/>
      <c r="CX30" s="95"/>
      <c r="CY30" s="95"/>
    </row>
    <row r="31" spans="2:103" ht="24" customHeight="1" x14ac:dyDescent="0.3">
      <c r="B31" s="95"/>
      <c r="C31" s="95"/>
      <c r="D31" s="95"/>
      <c r="E31" s="95"/>
      <c r="F31" s="95"/>
      <c r="G31" s="95"/>
      <c r="H31" s="95"/>
      <c r="L31" s="95"/>
      <c r="M31" s="95"/>
      <c r="N31" s="95"/>
      <c r="O31" s="95"/>
      <c r="P31" s="95"/>
      <c r="Q31" s="95"/>
      <c r="R31" s="95"/>
      <c r="S31" s="95"/>
      <c r="T31" s="95"/>
      <c r="U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5"/>
      <c r="BY31" s="95"/>
      <c r="BZ31" s="95"/>
      <c r="CA31" s="95"/>
      <c r="CB31" s="95"/>
      <c r="CC31" s="95"/>
      <c r="CD31" s="95"/>
      <c r="CE31" s="95"/>
      <c r="CF31" s="95"/>
      <c r="CG31" s="95"/>
      <c r="CH31" s="95"/>
      <c r="CI31" s="95"/>
      <c r="CJ31" s="95"/>
      <c r="CK31" s="95"/>
      <c r="CL31" s="95"/>
      <c r="CM31" s="95"/>
      <c r="CN31" s="95"/>
      <c r="CO31" s="95"/>
      <c r="CP31" s="95"/>
      <c r="CQ31" s="95"/>
      <c r="CR31" s="95"/>
      <c r="CS31" s="95"/>
      <c r="CT31" s="95"/>
      <c r="CU31" s="95"/>
      <c r="CV31" s="95"/>
      <c r="CW31" s="95"/>
      <c r="CX31" s="95"/>
      <c r="CY31" s="95"/>
    </row>
    <row r="32" spans="2:103" ht="24" customHeight="1" x14ac:dyDescent="0.3">
      <c r="B32" s="95"/>
      <c r="C32" s="95"/>
      <c r="D32" s="95"/>
      <c r="E32" s="95"/>
      <c r="F32" s="95"/>
      <c r="G32" s="95"/>
      <c r="H32" s="95"/>
      <c r="L32" s="95"/>
      <c r="M32" s="95"/>
      <c r="N32" s="95"/>
      <c r="O32" s="95"/>
      <c r="P32" s="95"/>
      <c r="Q32" s="95"/>
      <c r="R32" s="95"/>
      <c r="S32" s="95"/>
      <c r="T32" s="95"/>
      <c r="U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5"/>
      <c r="BY32" s="95"/>
      <c r="BZ32" s="95"/>
      <c r="CA32" s="95"/>
      <c r="CB32" s="95"/>
      <c r="CC32" s="95"/>
      <c r="CD32" s="95"/>
      <c r="CE32" s="95"/>
      <c r="CF32" s="95"/>
      <c r="CG32" s="95"/>
      <c r="CH32" s="95"/>
      <c r="CI32" s="95"/>
      <c r="CJ32" s="95"/>
      <c r="CK32" s="95"/>
      <c r="CL32" s="95"/>
      <c r="CM32" s="95"/>
      <c r="CN32" s="95"/>
      <c r="CO32" s="95"/>
      <c r="CP32" s="95"/>
      <c r="CQ32" s="95"/>
      <c r="CR32" s="95"/>
      <c r="CS32" s="95"/>
      <c r="CT32" s="95"/>
      <c r="CU32" s="95"/>
      <c r="CV32" s="95"/>
      <c r="CW32" s="95"/>
      <c r="CX32" s="95"/>
      <c r="CY32" s="95"/>
    </row>
    <row r="33" spans="2:103" ht="24" customHeight="1" x14ac:dyDescent="0.3">
      <c r="B33" s="95"/>
      <c r="C33" s="95"/>
      <c r="D33" s="95"/>
      <c r="E33" s="95"/>
      <c r="F33" s="95"/>
      <c r="G33" s="95"/>
      <c r="H33" s="95"/>
      <c r="L33" s="95"/>
      <c r="M33" s="95"/>
      <c r="N33" s="95"/>
      <c r="O33" s="95"/>
      <c r="P33" s="95"/>
      <c r="Q33" s="95"/>
      <c r="R33" s="95"/>
      <c r="S33" s="95"/>
      <c r="T33" s="95"/>
      <c r="U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5"/>
      <c r="BZ33" s="95"/>
      <c r="CA33" s="95"/>
      <c r="CB33" s="95"/>
      <c r="CC33" s="95"/>
      <c r="CD33" s="95"/>
      <c r="CE33" s="95"/>
      <c r="CF33" s="95"/>
      <c r="CG33" s="95"/>
      <c r="CH33" s="95"/>
      <c r="CI33" s="95"/>
      <c r="CJ33" s="95"/>
      <c r="CK33" s="95"/>
      <c r="CL33" s="95"/>
      <c r="CM33" s="95"/>
      <c r="CN33" s="95"/>
      <c r="CO33" s="95"/>
      <c r="CP33" s="95"/>
      <c r="CQ33" s="95"/>
      <c r="CR33" s="95"/>
      <c r="CS33" s="95"/>
      <c r="CT33" s="95"/>
      <c r="CU33" s="95"/>
      <c r="CV33" s="95"/>
      <c r="CW33" s="95"/>
      <c r="CX33" s="95"/>
      <c r="CY33" s="95"/>
    </row>
    <row r="34" spans="2:103" ht="24" customHeight="1" x14ac:dyDescent="0.3">
      <c r="B34" s="95"/>
      <c r="C34" s="95"/>
      <c r="D34" s="95"/>
      <c r="E34" s="95"/>
      <c r="F34" s="95"/>
      <c r="G34" s="95"/>
      <c r="H34" s="95"/>
      <c r="L34" s="95"/>
      <c r="M34" s="95"/>
      <c r="N34" s="95"/>
      <c r="O34" s="95"/>
      <c r="P34" s="95"/>
      <c r="Q34" s="95"/>
      <c r="R34" s="95"/>
      <c r="S34" s="95"/>
      <c r="T34" s="95"/>
      <c r="U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row>
    <row r="35" spans="2:103" ht="24" customHeight="1" x14ac:dyDescent="0.3">
      <c r="B35" s="95"/>
      <c r="C35" s="95"/>
      <c r="D35" s="95"/>
      <c r="E35" s="95"/>
      <c r="F35" s="95"/>
      <c r="G35" s="95"/>
      <c r="H35" s="95"/>
      <c r="L35" s="95"/>
      <c r="M35" s="95"/>
      <c r="N35" s="95"/>
      <c r="O35" s="95"/>
      <c r="P35" s="95"/>
      <c r="Q35" s="95"/>
      <c r="R35" s="95"/>
      <c r="S35" s="95"/>
      <c r="T35" s="95"/>
      <c r="U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5"/>
      <c r="CA35" s="95"/>
      <c r="CB35" s="95"/>
      <c r="CC35" s="95"/>
      <c r="CD35" s="95"/>
      <c r="CE35" s="95"/>
      <c r="CF35" s="95"/>
      <c r="CG35" s="95"/>
      <c r="CH35" s="95"/>
      <c r="CI35" s="95"/>
      <c r="CJ35" s="95"/>
      <c r="CK35" s="95"/>
      <c r="CL35" s="95"/>
      <c r="CM35" s="95"/>
      <c r="CN35" s="95"/>
      <c r="CO35" s="95"/>
      <c r="CP35" s="95"/>
      <c r="CQ35" s="95"/>
      <c r="CR35" s="95"/>
      <c r="CS35" s="95"/>
      <c r="CT35" s="95"/>
      <c r="CU35" s="95"/>
      <c r="CV35" s="95"/>
      <c r="CW35" s="95"/>
      <c r="CX35" s="95"/>
      <c r="CY35" s="95"/>
    </row>
    <row r="36" spans="2:103" ht="24" customHeight="1" x14ac:dyDescent="0.3">
      <c r="B36" s="95"/>
      <c r="C36" s="95"/>
      <c r="D36" s="95"/>
      <c r="E36" s="95"/>
      <c r="F36" s="95"/>
      <c r="G36" s="95"/>
      <c r="H36" s="95"/>
      <c r="L36" s="95"/>
      <c r="M36" s="95"/>
      <c r="N36" s="95"/>
      <c r="O36" s="95"/>
      <c r="P36" s="95"/>
      <c r="Q36" s="95"/>
      <c r="R36" s="95"/>
      <c r="S36" s="95"/>
      <c r="T36" s="95"/>
      <c r="U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5"/>
      <c r="BY36" s="95"/>
      <c r="BZ36" s="95"/>
      <c r="CA36" s="95"/>
      <c r="CB36" s="95"/>
      <c r="CC36" s="95"/>
      <c r="CD36" s="95"/>
      <c r="CE36" s="95"/>
      <c r="CF36" s="95"/>
      <c r="CG36" s="95"/>
      <c r="CH36" s="95"/>
      <c r="CI36" s="95"/>
      <c r="CJ36" s="95"/>
      <c r="CK36" s="95"/>
      <c r="CL36" s="95"/>
      <c r="CM36" s="95"/>
      <c r="CN36" s="95"/>
      <c r="CO36" s="95"/>
      <c r="CP36" s="95"/>
      <c r="CQ36" s="95"/>
      <c r="CR36" s="95"/>
      <c r="CS36" s="95"/>
      <c r="CT36" s="95"/>
      <c r="CU36" s="95"/>
      <c r="CV36" s="95"/>
      <c r="CW36" s="95"/>
      <c r="CX36" s="95"/>
      <c r="CY36" s="95"/>
    </row>
    <row r="37" spans="2:103" ht="24" customHeight="1" x14ac:dyDescent="0.3">
      <c r="B37" s="95"/>
      <c r="C37" s="95"/>
      <c r="D37" s="95"/>
      <c r="E37" s="95"/>
      <c r="F37" s="95"/>
      <c r="G37" s="95"/>
      <c r="H37" s="95"/>
      <c r="L37" s="95"/>
      <c r="M37" s="95"/>
      <c r="N37" s="95"/>
      <c r="O37" s="95"/>
      <c r="P37" s="95"/>
      <c r="Q37" s="95"/>
      <c r="R37" s="95"/>
      <c r="S37" s="95"/>
      <c r="T37" s="95"/>
      <c r="U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c r="BJ37" s="95"/>
      <c r="BK37" s="95"/>
      <c r="BL37" s="95"/>
      <c r="BM37" s="95"/>
      <c r="BN37" s="95"/>
      <c r="BO37" s="95"/>
      <c r="BP37" s="95"/>
      <c r="BQ37" s="95"/>
      <c r="BR37" s="95"/>
      <c r="BS37" s="95"/>
      <c r="BT37" s="95"/>
      <c r="BU37" s="95"/>
      <c r="BV37" s="95"/>
      <c r="BW37" s="95"/>
      <c r="BX37" s="95"/>
      <c r="BY37" s="95"/>
      <c r="BZ37" s="95"/>
      <c r="CA37" s="95"/>
      <c r="CB37" s="95"/>
      <c r="CC37" s="95"/>
      <c r="CD37" s="95"/>
      <c r="CE37" s="95"/>
      <c r="CF37" s="95"/>
      <c r="CG37" s="95"/>
      <c r="CH37" s="95"/>
      <c r="CI37" s="95"/>
      <c r="CJ37" s="95"/>
      <c r="CK37" s="95"/>
      <c r="CL37" s="95"/>
      <c r="CM37" s="95"/>
      <c r="CN37" s="95"/>
      <c r="CO37" s="95"/>
      <c r="CP37" s="95"/>
      <c r="CQ37" s="95"/>
      <c r="CR37" s="95"/>
      <c r="CS37" s="95"/>
      <c r="CT37" s="95"/>
      <c r="CU37" s="95"/>
      <c r="CV37" s="95"/>
      <c r="CW37" s="95"/>
      <c r="CX37" s="95"/>
      <c r="CY37" s="95"/>
    </row>
    <row r="38" spans="2:103" ht="24" customHeight="1" x14ac:dyDescent="0.3">
      <c r="B38" s="95"/>
      <c r="C38" s="95"/>
      <c r="D38" s="95"/>
      <c r="E38" s="95"/>
      <c r="F38" s="95"/>
      <c r="G38" s="95"/>
      <c r="H38" s="95"/>
      <c r="L38" s="95"/>
      <c r="M38" s="95"/>
      <c r="N38" s="95"/>
      <c r="O38" s="95"/>
      <c r="P38" s="95"/>
      <c r="Q38" s="95"/>
      <c r="R38" s="95"/>
      <c r="S38" s="95"/>
      <c r="T38" s="95"/>
      <c r="U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5"/>
      <c r="BY38" s="95"/>
      <c r="BZ38" s="95"/>
      <c r="CA38" s="95"/>
      <c r="CB38" s="95"/>
      <c r="CC38" s="95"/>
      <c r="CD38" s="95"/>
      <c r="CE38" s="95"/>
      <c r="CF38" s="95"/>
      <c r="CG38" s="95"/>
      <c r="CH38" s="95"/>
      <c r="CI38" s="95"/>
      <c r="CJ38" s="95"/>
      <c r="CK38" s="95"/>
      <c r="CL38" s="95"/>
      <c r="CM38" s="95"/>
      <c r="CN38" s="95"/>
      <c r="CO38" s="95"/>
      <c r="CP38" s="95"/>
      <c r="CQ38" s="95"/>
      <c r="CR38" s="95"/>
      <c r="CS38" s="95"/>
      <c r="CT38" s="95"/>
      <c r="CU38" s="95"/>
      <c r="CV38" s="95"/>
      <c r="CW38" s="95"/>
      <c r="CX38" s="95"/>
      <c r="CY38" s="95"/>
    </row>
    <row r="39" spans="2:103" ht="24" customHeight="1" x14ac:dyDescent="0.3">
      <c r="B39" s="95"/>
      <c r="C39" s="95"/>
      <c r="D39" s="95"/>
      <c r="E39" s="95"/>
      <c r="F39" s="95"/>
      <c r="G39" s="95"/>
      <c r="H39" s="95"/>
      <c r="L39" s="95"/>
      <c r="M39" s="95"/>
      <c r="N39" s="95"/>
      <c r="O39" s="95"/>
      <c r="P39" s="95"/>
      <c r="Q39" s="95"/>
      <c r="R39" s="95"/>
      <c r="S39" s="95"/>
      <c r="T39" s="95"/>
      <c r="U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5"/>
      <c r="BY39" s="95"/>
      <c r="BZ39" s="95"/>
      <c r="CA39" s="95"/>
      <c r="CB39" s="95"/>
      <c r="CC39" s="95"/>
      <c r="CD39" s="95"/>
      <c r="CE39" s="95"/>
      <c r="CF39" s="95"/>
      <c r="CG39" s="95"/>
      <c r="CH39" s="95"/>
      <c r="CI39" s="95"/>
      <c r="CJ39" s="95"/>
      <c r="CK39" s="95"/>
      <c r="CL39" s="95"/>
      <c r="CM39" s="95"/>
      <c r="CN39" s="95"/>
      <c r="CO39" s="95"/>
      <c r="CP39" s="95"/>
      <c r="CQ39" s="95"/>
      <c r="CR39" s="95"/>
      <c r="CS39" s="95"/>
      <c r="CT39" s="95"/>
      <c r="CU39" s="95"/>
      <c r="CV39" s="95"/>
      <c r="CW39" s="95"/>
      <c r="CX39" s="95"/>
      <c r="CY39" s="95"/>
    </row>
    <row r="40" spans="2:103" ht="24" customHeight="1" x14ac:dyDescent="0.3">
      <c r="B40" s="95"/>
      <c r="C40" s="95"/>
      <c r="D40" s="95"/>
      <c r="E40" s="95"/>
      <c r="F40" s="95"/>
      <c r="G40" s="95"/>
      <c r="H40" s="95"/>
      <c r="L40" s="95"/>
      <c r="M40" s="95"/>
      <c r="N40" s="95"/>
      <c r="O40" s="95"/>
      <c r="P40" s="95"/>
      <c r="Q40" s="95"/>
      <c r="R40" s="95"/>
      <c r="S40" s="95"/>
      <c r="T40" s="95"/>
      <c r="U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5"/>
      <c r="BY40" s="95"/>
      <c r="BZ40" s="95"/>
      <c r="CA40" s="95"/>
      <c r="CB40" s="95"/>
      <c r="CC40" s="95"/>
      <c r="CD40" s="95"/>
      <c r="CE40" s="95"/>
      <c r="CF40" s="95"/>
      <c r="CG40" s="95"/>
      <c r="CH40" s="95"/>
      <c r="CI40" s="95"/>
      <c r="CJ40" s="95"/>
      <c r="CK40" s="95"/>
      <c r="CL40" s="95"/>
      <c r="CM40" s="95"/>
      <c r="CN40" s="95"/>
      <c r="CO40" s="95"/>
      <c r="CP40" s="95"/>
      <c r="CQ40" s="95"/>
      <c r="CR40" s="95"/>
      <c r="CS40" s="95"/>
      <c r="CT40" s="95"/>
      <c r="CU40" s="95"/>
      <c r="CV40" s="95"/>
      <c r="CW40" s="95"/>
      <c r="CX40" s="95"/>
      <c r="CY40" s="95"/>
    </row>
    <row r="41" spans="2:103" ht="24" customHeight="1" x14ac:dyDescent="0.3">
      <c r="B41" s="95"/>
      <c r="C41" s="95"/>
      <c r="D41" s="95"/>
      <c r="E41" s="95"/>
      <c r="F41" s="95"/>
      <c r="G41" s="95"/>
      <c r="H41" s="95"/>
      <c r="L41" s="95"/>
      <c r="M41" s="95"/>
      <c r="N41" s="95"/>
      <c r="O41" s="95"/>
      <c r="P41" s="95"/>
      <c r="Q41" s="95"/>
      <c r="R41" s="95"/>
      <c r="S41" s="95"/>
      <c r="T41" s="95"/>
      <c r="U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5"/>
      <c r="BY41" s="95"/>
      <c r="BZ41" s="95"/>
      <c r="CA41" s="95"/>
      <c r="CB41" s="95"/>
      <c r="CC41" s="95"/>
      <c r="CD41" s="95"/>
      <c r="CE41" s="95"/>
      <c r="CF41" s="95"/>
      <c r="CG41" s="95"/>
      <c r="CH41" s="95"/>
      <c r="CI41" s="95"/>
      <c r="CJ41" s="95"/>
      <c r="CK41" s="95"/>
      <c r="CL41" s="95"/>
      <c r="CM41" s="95"/>
      <c r="CN41" s="95"/>
      <c r="CO41" s="95"/>
      <c r="CP41" s="95"/>
      <c r="CQ41" s="95"/>
      <c r="CR41" s="95"/>
      <c r="CS41" s="95"/>
      <c r="CT41" s="95"/>
      <c r="CU41" s="95"/>
      <c r="CV41" s="95"/>
      <c r="CW41" s="95"/>
      <c r="CX41" s="95"/>
      <c r="CY41" s="95"/>
    </row>
    <row r="42" spans="2:103" ht="24" customHeight="1" x14ac:dyDescent="0.3">
      <c r="B42" s="95"/>
      <c r="C42" s="95"/>
      <c r="D42" s="95"/>
      <c r="E42" s="95"/>
      <c r="F42" s="95"/>
      <c r="G42" s="95"/>
      <c r="H42" s="95"/>
      <c r="L42" s="95"/>
      <c r="M42" s="95"/>
      <c r="N42" s="95"/>
      <c r="O42" s="95"/>
      <c r="P42" s="95"/>
      <c r="Q42" s="95"/>
      <c r="R42" s="95"/>
      <c r="S42" s="95"/>
      <c r="T42" s="95"/>
      <c r="U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D42" s="95"/>
      <c r="CE42" s="95"/>
      <c r="CF42" s="95"/>
      <c r="CG42" s="95"/>
      <c r="CH42" s="95"/>
      <c r="CI42" s="95"/>
      <c r="CJ42" s="95"/>
      <c r="CK42" s="95"/>
      <c r="CL42" s="95"/>
      <c r="CM42" s="95"/>
      <c r="CN42" s="95"/>
      <c r="CO42" s="95"/>
      <c r="CP42" s="95"/>
      <c r="CQ42" s="95"/>
      <c r="CR42" s="95"/>
      <c r="CS42" s="95"/>
      <c r="CT42" s="95"/>
      <c r="CU42" s="95"/>
      <c r="CV42" s="95"/>
      <c r="CW42" s="95"/>
      <c r="CX42" s="95"/>
      <c r="CY42" s="95"/>
    </row>
    <row r="43" spans="2:103" ht="24" customHeight="1" x14ac:dyDescent="0.3">
      <c r="B43" s="95"/>
      <c r="C43" s="95"/>
      <c r="D43" s="95"/>
      <c r="E43" s="95"/>
      <c r="F43" s="95"/>
      <c r="G43" s="95"/>
      <c r="H43" s="95"/>
      <c r="L43" s="95"/>
      <c r="M43" s="95"/>
      <c r="N43" s="95"/>
      <c r="O43" s="95"/>
      <c r="P43" s="95"/>
      <c r="Q43" s="95"/>
      <c r="R43" s="95"/>
      <c r="S43" s="95"/>
      <c r="T43" s="95"/>
      <c r="U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5"/>
      <c r="BY43" s="95"/>
      <c r="BZ43" s="95"/>
      <c r="CA43" s="95"/>
      <c r="CB43" s="95"/>
      <c r="CC43" s="95"/>
      <c r="CD43" s="95"/>
      <c r="CE43" s="95"/>
      <c r="CF43" s="95"/>
      <c r="CG43" s="95"/>
      <c r="CH43" s="95"/>
      <c r="CI43" s="95"/>
      <c r="CJ43" s="95"/>
      <c r="CK43" s="95"/>
      <c r="CL43" s="95"/>
      <c r="CM43" s="95"/>
      <c r="CN43" s="95"/>
      <c r="CO43" s="95"/>
      <c r="CP43" s="95"/>
      <c r="CQ43" s="95"/>
      <c r="CR43" s="95"/>
      <c r="CS43" s="95"/>
      <c r="CT43" s="95"/>
      <c r="CU43" s="95"/>
      <c r="CV43" s="95"/>
      <c r="CW43" s="95"/>
      <c r="CX43" s="95"/>
      <c r="CY43" s="95"/>
    </row>
    <row r="44" spans="2:103" ht="24" customHeight="1" x14ac:dyDescent="0.3">
      <c r="B44" s="95"/>
      <c r="C44" s="95"/>
      <c r="D44" s="95"/>
      <c r="E44" s="95"/>
      <c r="F44" s="95"/>
      <c r="G44" s="95"/>
      <c r="H44" s="95"/>
      <c r="L44" s="95"/>
      <c r="M44" s="95"/>
      <c r="N44" s="95"/>
      <c r="O44" s="95"/>
      <c r="P44" s="95"/>
      <c r="Q44" s="95"/>
      <c r="R44" s="95"/>
      <c r="S44" s="95"/>
      <c r="T44" s="95"/>
      <c r="U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5"/>
      <c r="BY44" s="95"/>
      <c r="BZ44" s="95"/>
      <c r="CA44" s="95"/>
      <c r="CB44" s="95"/>
      <c r="CC44" s="95"/>
      <c r="CD44" s="95"/>
      <c r="CE44" s="95"/>
      <c r="CF44" s="95"/>
      <c r="CG44" s="95"/>
      <c r="CH44" s="95"/>
      <c r="CI44" s="95"/>
      <c r="CJ44" s="95"/>
      <c r="CK44" s="95"/>
      <c r="CL44" s="95"/>
      <c r="CM44" s="95"/>
      <c r="CN44" s="95"/>
      <c r="CO44" s="95"/>
      <c r="CP44" s="95"/>
      <c r="CQ44" s="95"/>
      <c r="CR44" s="95"/>
      <c r="CS44" s="95"/>
      <c r="CT44" s="95"/>
      <c r="CU44" s="95"/>
      <c r="CV44" s="95"/>
      <c r="CW44" s="95"/>
      <c r="CX44" s="95"/>
      <c r="CY44" s="95"/>
    </row>
    <row r="45" spans="2:103" ht="24" customHeight="1" x14ac:dyDescent="0.3">
      <c r="B45" s="95"/>
      <c r="C45" s="95"/>
      <c r="D45" s="95"/>
      <c r="E45" s="95"/>
      <c r="F45" s="95"/>
      <c r="G45" s="95"/>
      <c r="H45" s="95"/>
      <c r="L45" s="95"/>
      <c r="M45" s="95"/>
      <c r="N45" s="95"/>
      <c r="O45" s="95"/>
      <c r="P45" s="95"/>
      <c r="Q45" s="95"/>
      <c r="R45" s="95"/>
      <c r="S45" s="95"/>
      <c r="T45" s="95"/>
      <c r="U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5"/>
      <c r="BY45" s="95"/>
      <c r="BZ45" s="95"/>
      <c r="CA45" s="95"/>
      <c r="CB45" s="95"/>
      <c r="CC45" s="95"/>
      <c r="CD45" s="95"/>
      <c r="CE45" s="95"/>
      <c r="CF45" s="95"/>
      <c r="CG45" s="95"/>
      <c r="CH45" s="95"/>
      <c r="CI45" s="95"/>
      <c r="CJ45" s="95"/>
      <c r="CK45" s="95"/>
      <c r="CL45" s="95"/>
      <c r="CM45" s="95"/>
      <c r="CN45" s="95"/>
      <c r="CO45" s="95"/>
      <c r="CP45" s="95"/>
      <c r="CQ45" s="95"/>
      <c r="CR45" s="95"/>
      <c r="CS45" s="95"/>
      <c r="CT45" s="95"/>
      <c r="CU45" s="95"/>
      <c r="CV45" s="95"/>
      <c r="CW45" s="95"/>
      <c r="CX45" s="95"/>
      <c r="CY45" s="95"/>
    </row>
    <row r="46" spans="2:103" ht="24" customHeight="1" x14ac:dyDescent="0.3">
      <c r="B46" s="95"/>
      <c r="C46" s="95"/>
      <c r="D46" s="95"/>
      <c r="E46" s="95"/>
      <c r="F46" s="95"/>
      <c r="G46" s="95"/>
      <c r="H46" s="95"/>
      <c r="L46" s="95"/>
      <c r="M46" s="95"/>
      <c r="N46" s="95"/>
      <c r="O46" s="95"/>
      <c r="P46" s="95"/>
      <c r="Q46" s="95"/>
      <c r="R46" s="95"/>
      <c r="S46" s="95"/>
      <c r="T46" s="95"/>
      <c r="U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5"/>
      <c r="BY46" s="95"/>
      <c r="BZ46" s="95"/>
      <c r="CA46" s="95"/>
      <c r="CB46" s="95"/>
      <c r="CC46" s="95"/>
      <c r="CD46" s="95"/>
      <c r="CE46" s="95"/>
      <c r="CF46" s="95"/>
      <c r="CG46" s="95"/>
      <c r="CH46" s="95"/>
      <c r="CI46" s="95"/>
      <c r="CJ46" s="95"/>
      <c r="CK46" s="95"/>
      <c r="CL46" s="95"/>
      <c r="CM46" s="95"/>
      <c r="CN46" s="95"/>
      <c r="CO46" s="95"/>
      <c r="CP46" s="95"/>
      <c r="CQ46" s="95"/>
      <c r="CR46" s="95"/>
      <c r="CS46" s="95"/>
      <c r="CT46" s="95"/>
      <c r="CU46" s="95"/>
      <c r="CV46" s="95"/>
      <c r="CW46" s="95"/>
      <c r="CX46" s="95"/>
      <c r="CY46" s="95"/>
    </row>
    <row r="47" spans="2:103" ht="24" customHeight="1" x14ac:dyDescent="0.3">
      <c r="B47" s="95"/>
      <c r="C47" s="95"/>
      <c r="D47" s="95"/>
      <c r="E47" s="95"/>
      <c r="F47" s="95"/>
      <c r="G47" s="95"/>
      <c r="H47" s="95"/>
      <c r="L47" s="95"/>
      <c r="M47" s="95"/>
      <c r="N47" s="95"/>
      <c r="O47" s="95"/>
      <c r="P47" s="95"/>
      <c r="Q47" s="95"/>
      <c r="R47" s="95"/>
      <c r="S47" s="95"/>
      <c r="T47" s="95"/>
      <c r="U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5"/>
      <c r="BY47" s="95"/>
      <c r="BZ47" s="95"/>
      <c r="CA47" s="95"/>
      <c r="CB47" s="95"/>
      <c r="CC47" s="95"/>
      <c r="CD47" s="95"/>
      <c r="CE47" s="95"/>
      <c r="CF47" s="95"/>
      <c r="CG47" s="95"/>
      <c r="CH47" s="95"/>
      <c r="CI47" s="95"/>
      <c r="CJ47" s="95"/>
      <c r="CK47" s="95"/>
      <c r="CL47" s="95"/>
      <c r="CM47" s="95"/>
      <c r="CN47" s="95"/>
      <c r="CO47" s="95"/>
      <c r="CP47" s="95"/>
      <c r="CQ47" s="95"/>
      <c r="CR47" s="95"/>
      <c r="CS47" s="95"/>
      <c r="CT47" s="95"/>
      <c r="CU47" s="95"/>
      <c r="CV47" s="95"/>
      <c r="CW47" s="95"/>
      <c r="CX47" s="95"/>
      <c r="CY47" s="95"/>
    </row>
    <row r="48" spans="2:103" ht="24" customHeight="1" x14ac:dyDescent="0.3">
      <c r="B48" s="95"/>
      <c r="C48" s="95"/>
      <c r="D48" s="95"/>
      <c r="E48" s="95"/>
      <c r="F48" s="95"/>
      <c r="G48" s="95"/>
      <c r="H48" s="95"/>
      <c r="L48" s="95"/>
      <c r="M48" s="95"/>
      <c r="N48" s="95"/>
      <c r="O48" s="95"/>
      <c r="P48" s="95"/>
      <c r="Q48" s="95"/>
      <c r="R48" s="95"/>
      <c r="S48" s="95"/>
      <c r="T48" s="95"/>
      <c r="U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95"/>
      <c r="CY48" s="95"/>
    </row>
    <row r="49" spans="2:103" ht="24" customHeight="1" x14ac:dyDescent="0.3">
      <c r="B49" s="95"/>
      <c r="C49" s="95"/>
      <c r="D49" s="95"/>
      <c r="E49" s="95"/>
      <c r="F49" s="95"/>
      <c r="G49" s="95"/>
      <c r="H49" s="95"/>
      <c r="L49" s="95"/>
      <c r="M49" s="95"/>
      <c r="N49" s="95"/>
      <c r="O49" s="95"/>
      <c r="P49" s="95"/>
      <c r="Q49" s="95"/>
      <c r="R49" s="95"/>
      <c r="S49" s="95"/>
      <c r="T49" s="95"/>
      <c r="U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c r="BA49" s="95"/>
      <c r="BB49" s="95"/>
      <c r="BC49" s="95"/>
      <c r="BD49" s="95"/>
      <c r="BE49" s="95"/>
      <c r="BF49" s="95"/>
      <c r="BG49" s="95"/>
      <c r="BH49" s="95"/>
      <c r="BI49" s="95"/>
      <c r="BJ49" s="95"/>
      <c r="BK49" s="95"/>
      <c r="BL49" s="95"/>
      <c r="BM49" s="95"/>
      <c r="BN49" s="95"/>
      <c r="BO49" s="95"/>
      <c r="BP49" s="95"/>
      <c r="BQ49" s="95"/>
      <c r="BR49" s="95"/>
      <c r="BS49" s="95"/>
      <c r="BT49" s="95"/>
      <c r="BU49" s="95"/>
      <c r="BV49" s="95"/>
      <c r="BW49" s="95"/>
      <c r="BX49" s="95"/>
      <c r="BY49" s="95"/>
      <c r="BZ49" s="95"/>
      <c r="CA49" s="95"/>
      <c r="CB49" s="95"/>
      <c r="CC49" s="95"/>
      <c r="CD49" s="95"/>
      <c r="CE49" s="95"/>
      <c r="CF49" s="95"/>
      <c r="CG49" s="95"/>
      <c r="CH49" s="95"/>
      <c r="CI49" s="95"/>
      <c r="CJ49" s="95"/>
      <c r="CK49" s="95"/>
      <c r="CL49" s="95"/>
      <c r="CM49" s="95"/>
      <c r="CN49" s="95"/>
      <c r="CO49" s="95"/>
      <c r="CP49" s="95"/>
      <c r="CQ49" s="95"/>
      <c r="CR49" s="95"/>
      <c r="CS49" s="95"/>
      <c r="CT49" s="95"/>
      <c r="CU49" s="95"/>
      <c r="CV49" s="95"/>
      <c r="CW49" s="95"/>
      <c r="CX49" s="95"/>
      <c r="CY49" s="95"/>
    </row>
    <row r="50" spans="2:103" ht="24" customHeight="1" x14ac:dyDescent="0.3">
      <c r="B50" s="95"/>
      <c r="C50" s="95"/>
      <c r="D50" s="95"/>
      <c r="E50" s="95"/>
      <c r="F50" s="95"/>
      <c r="G50" s="95"/>
      <c r="H50" s="95"/>
      <c r="L50" s="95"/>
      <c r="M50" s="95"/>
      <c r="N50" s="95"/>
      <c r="O50" s="95"/>
      <c r="P50" s="95"/>
      <c r="Q50" s="95"/>
      <c r="R50" s="95"/>
      <c r="S50" s="95"/>
      <c r="T50" s="95"/>
      <c r="U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c r="BA50" s="95"/>
      <c r="BB50" s="95"/>
      <c r="BC50" s="95"/>
      <c r="BD50" s="95"/>
      <c r="BE50" s="95"/>
      <c r="BF50" s="95"/>
      <c r="BG50" s="95"/>
      <c r="BH50" s="95"/>
      <c r="BI50" s="95"/>
      <c r="BJ50" s="95"/>
      <c r="BK50" s="95"/>
      <c r="BL50" s="95"/>
      <c r="BM50" s="95"/>
      <c r="BN50" s="95"/>
      <c r="BO50" s="95"/>
      <c r="BP50" s="95"/>
      <c r="BQ50" s="95"/>
      <c r="BR50" s="95"/>
      <c r="BS50" s="95"/>
      <c r="BT50" s="95"/>
      <c r="BU50" s="95"/>
      <c r="BV50" s="95"/>
      <c r="BW50" s="95"/>
      <c r="BX50" s="95"/>
      <c r="BY50" s="95"/>
      <c r="BZ50" s="95"/>
      <c r="CA50" s="95"/>
      <c r="CB50" s="95"/>
      <c r="CC50" s="95"/>
      <c r="CD50" s="95"/>
      <c r="CE50" s="95"/>
      <c r="CF50" s="95"/>
      <c r="CG50" s="95"/>
      <c r="CH50" s="95"/>
      <c r="CI50" s="95"/>
      <c r="CJ50" s="95"/>
      <c r="CK50" s="95"/>
      <c r="CL50" s="95"/>
      <c r="CM50" s="95"/>
      <c r="CN50" s="95"/>
      <c r="CO50" s="95"/>
      <c r="CP50" s="95"/>
      <c r="CQ50" s="95"/>
      <c r="CR50" s="95"/>
      <c r="CS50" s="95"/>
      <c r="CT50" s="95"/>
      <c r="CU50" s="95"/>
      <c r="CV50" s="95"/>
      <c r="CW50" s="95"/>
      <c r="CX50" s="95"/>
      <c r="CY50" s="95"/>
    </row>
    <row r="51" spans="2:103" ht="24" customHeight="1" x14ac:dyDescent="0.3">
      <c r="B51" s="95"/>
      <c r="C51" s="95"/>
      <c r="D51" s="95"/>
      <c r="E51" s="95"/>
      <c r="F51" s="95"/>
      <c r="G51" s="95"/>
      <c r="H51" s="95"/>
      <c r="L51" s="95"/>
      <c r="M51" s="95"/>
      <c r="N51" s="95"/>
      <c r="O51" s="95"/>
      <c r="P51" s="95"/>
      <c r="Q51" s="95"/>
      <c r="R51" s="95"/>
      <c r="S51" s="95"/>
      <c r="T51" s="95"/>
      <c r="U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5"/>
      <c r="BY51" s="95"/>
      <c r="BZ51" s="95"/>
      <c r="CA51" s="95"/>
      <c r="CB51" s="95"/>
      <c r="CC51" s="95"/>
      <c r="CD51" s="95"/>
      <c r="CE51" s="95"/>
      <c r="CF51" s="95"/>
      <c r="CG51" s="95"/>
      <c r="CH51" s="95"/>
      <c r="CI51" s="95"/>
      <c r="CJ51" s="95"/>
      <c r="CK51" s="95"/>
      <c r="CL51" s="95"/>
      <c r="CM51" s="95"/>
      <c r="CN51" s="95"/>
      <c r="CO51" s="95"/>
      <c r="CP51" s="95"/>
      <c r="CQ51" s="95"/>
      <c r="CR51" s="95"/>
      <c r="CS51" s="95"/>
      <c r="CT51" s="95"/>
      <c r="CU51" s="95"/>
      <c r="CV51" s="95"/>
      <c r="CW51" s="95"/>
      <c r="CX51" s="95"/>
      <c r="CY51" s="95"/>
    </row>
    <row r="52" spans="2:103" ht="24" customHeight="1" x14ac:dyDescent="0.3">
      <c r="B52" s="95"/>
      <c r="C52" s="95"/>
      <c r="D52" s="95"/>
      <c r="E52" s="95"/>
      <c r="F52" s="95"/>
      <c r="G52" s="95"/>
      <c r="H52" s="95"/>
      <c r="L52" s="95"/>
      <c r="M52" s="95"/>
      <c r="N52" s="95"/>
      <c r="O52" s="95"/>
      <c r="P52" s="95"/>
      <c r="Q52" s="95"/>
      <c r="R52" s="95"/>
      <c r="S52" s="95"/>
      <c r="T52" s="95"/>
      <c r="U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c r="BA52" s="95"/>
      <c r="BB52" s="95"/>
      <c r="BC52" s="95"/>
      <c r="BD52" s="95"/>
      <c r="BE52" s="95"/>
      <c r="BF52" s="95"/>
      <c r="BG52" s="95"/>
      <c r="BH52" s="95"/>
      <c r="BI52" s="95"/>
      <c r="BJ52" s="95"/>
      <c r="BK52" s="95"/>
      <c r="BL52" s="95"/>
      <c r="BM52" s="95"/>
      <c r="BN52" s="95"/>
      <c r="BO52" s="95"/>
      <c r="BP52" s="95"/>
      <c r="BQ52" s="95"/>
      <c r="BR52" s="95"/>
      <c r="BS52" s="95"/>
      <c r="BT52" s="95"/>
      <c r="BU52" s="95"/>
      <c r="BV52" s="95"/>
      <c r="BW52" s="95"/>
      <c r="BX52" s="95"/>
      <c r="BY52" s="95"/>
      <c r="BZ52" s="95"/>
      <c r="CA52" s="95"/>
      <c r="CB52" s="95"/>
      <c r="CC52" s="95"/>
      <c r="CD52" s="95"/>
      <c r="CE52" s="95"/>
      <c r="CF52" s="95"/>
      <c r="CG52" s="95"/>
      <c r="CH52" s="95"/>
      <c r="CI52" s="95"/>
      <c r="CJ52" s="95"/>
      <c r="CK52" s="95"/>
      <c r="CL52" s="95"/>
      <c r="CM52" s="95"/>
      <c r="CN52" s="95"/>
      <c r="CO52" s="95"/>
      <c r="CP52" s="95"/>
      <c r="CQ52" s="95"/>
      <c r="CR52" s="95"/>
      <c r="CS52" s="95"/>
      <c r="CT52" s="95"/>
      <c r="CU52" s="95"/>
      <c r="CV52" s="95"/>
      <c r="CW52" s="95"/>
      <c r="CX52" s="95"/>
      <c r="CY52" s="95"/>
    </row>
    <row r="53" spans="2:103" ht="24" customHeight="1" x14ac:dyDescent="0.3">
      <c r="B53" s="95"/>
      <c r="C53" s="95"/>
      <c r="D53" s="95"/>
      <c r="E53" s="95"/>
      <c r="F53" s="95"/>
      <c r="G53" s="95"/>
      <c r="H53" s="95"/>
      <c r="L53" s="95"/>
      <c r="M53" s="95"/>
      <c r="N53" s="95"/>
      <c r="O53" s="95"/>
      <c r="P53" s="95"/>
      <c r="Q53" s="95"/>
      <c r="R53" s="95"/>
      <c r="S53" s="95"/>
      <c r="T53" s="95"/>
      <c r="U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5"/>
      <c r="BY53" s="95"/>
      <c r="BZ53" s="95"/>
      <c r="CA53" s="95"/>
      <c r="CB53" s="95"/>
      <c r="CC53" s="95"/>
      <c r="CD53" s="95"/>
      <c r="CE53" s="95"/>
      <c r="CF53" s="95"/>
      <c r="CG53" s="95"/>
      <c r="CH53" s="95"/>
      <c r="CI53" s="95"/>
      <c r="CJ53" s="95"/>
      <c r="CK53" s="95"/>
      <c r="CL53" s="95"/>
      <c r="CM53" s="95"/>
      <c r="CN53" s="95"/>
      <c r="CO53" s="95"/>
      <c r="CP53" s="95"/>
      <c r="CQ53" s="95"/>
      <c r="CR53" s="95"/>
      <c r="CS53" s="95"/>
      <c r="CT53" s="95"/>
      <c r="CU53" s="95"/>
      <c r="CV53" s="95"/>
      <c r="CW53" s="95"/>
      <c r="CX53" s="95"/>
      <c r="CY53" s="95"/>
    </row>
    <row r="54" spans="2:103" ht="24" customHeight="1" x14ac:dyDescent="0.3">
      <c r="B54" s="95"/>
      <c r="C54" s="95"/>
      <c r="D54" s="95"/>
      <c r="E54" s="95"/>
      <c r="F54" s="95"/>
      <c r="G54" s="95"/>
      <c r="H54" s="95"/>
      <c r="L54" s="95"/>
      <c r="M54" s="95"/>
      <c r="N54" s="95"/>
      <c r="O54" s="95"/>
      <c r="P54" s="95"/>
      <c r="Q54" s="95"/>
      <c r="R54" s="95"/>
      <c r="S54" s="95"/>
      <c r="T54" s="95"/>
      <c r="U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c r="BJ54" s="95"/>
      <c r="BK54" s="95"/>
      <c r="BL54" s="95"/>
      <c r="BM54" s="95"/>
      <c r="BN54" s="95"/>
      <c r="BO54" s="95"/>
      <c r="BP54" s="95"/>
      <c r="BQ54" s="95"/>
      <c r="BR54" s="95"/>
      <c r="BS54" s="95"/>
      <c r="BT54" s="95"/>
      <c r="BU54" s="95"/>
      <c r="BV54" s="95"/>
      <c r="BW54" s="95"/>
      <c r="BX54" s="95"/>
      <c r="BY54" s="95"/>
      <c r="BZ54" s="95"/>
      <c r="CA54" s="95"/>
      <c r="CB54" s="95"/>
      <c r="CC54" s="95"/>
      <c r="CD54" s="95"/>
      <c r="CE54" s="95"/>
      <c r="CF54" s="95"/>
      <c r="CG54" s="95"/>
      <c r="CH54" s="95"/>
      <c r="CI54" s="95"/>
      <c r="CJ54" s="95"/>
      <c r="CK54" s="95"/>
      <c r="CL54" s="95"/>
      <c r="CM54" s="95"/>
      <c r="CN54" s="95"/>
      <c r="CO54" s="95"/>
      <c r="CP54" s="95"/>
      <c r="CQ54" s="95"/>
      <c r="CR54" s="95"/>
      <c r="CS54" s="95"/>
      <c r="CT54" s="95"/>
      <c r="CU54" s="95"/>
      <c r="CV54" s="95"/>
      <c r="CW54" s="95"/>
      <c r="CX54" s="95"/>
      <c r="CY54" s="95"/>
    </row>
    <row r="55" spans="2:103" ht="24" customHeight="1" x14ac:dyDescent="0.3">
      <c r="B55" s="95"/>
      <c r="C55" s="95"/>
      <c r="D55" s="95"/>
      <c r="E55" s="95"/>
      <c r="F55" s="95"/>
      <c r="G55" s="95"/>
      <c r="H55" s="95"/>
      <c r="L55" s="95"/>
      <c r="M55" s="95"/>
      <c r="N55" s="95"/>
      <c r="O55" s="95"/>
      <c r="P55" s="95"/>
      <c r="Q55" s="95"/>
      <c r="R55" s="95"/>
      <c r="S55" s="95"/>
      <c r="T55" s="95"/>
      <c r="U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5"/>
      <c r="BY55" s="95"/>
      <c r="BZ55" s="95"/>
      <c r="CA55" s="95"/>
      <c r="CB55" s="95"/>
      <c r="CC55" s="95"/>
      <c r="CD55" s="95"/>
      <c r="CE55" s="95"/>
      <c r="CF55" s="95"/>
      <c r="CG55" s="95"/>
      <c r="CH55" s="95"/>
      <c r="CI55" s="95"/>
      <c r="CJ55" s="95"/>
      <c r="CK55" s="95"/>
      <c r="CL55" s="95"/>
      <c r="CM55" s="95"/>
      <c r="CN55" s="95"/>
      <c r="CO55" s="95"/>
      <c r="CP55" s="95"/>
      <c r="CQ55" s="95"/>
      <c r="CR55" s="95"/>
      <c r="CS55" s="95"/>
      <c r="CT55" s="95"/>
      <c r="CU55" s="95"/>
      <c r="CV55" s="95"/>
      <c r="CW55" s="95"/>
      <c r="CX55" s="95"/>
      <c r="CY55" s="95"/>
    </row>
    <row r="56" spans="2:103" ht="24" customHeight="1" x14ac:dyDescent="0.3">
      <c r="B56" s="95"/>
      <c r="C56" s="95"/>
      <c r="D56" s="95"/>
      <c r="E56" s="95"/>
      <c r="F56" s="95"/>
      <c r="G56" s="95"/>
      <c r="H56" s="95"/>
      <c r="L56" s="95"/>
      <c r="M56" s="95"/>
      <c r="N56" s="95"/>
      <c r="O56" s="95"/>
      <c r="P56" s="95"/>
      <c r="Q56" s="95"/>
      <c r="R56" s="95"/>
      <c r="S56" s="95"/>
      <c r="T56" s="95"/>
      <c r="U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5"/>
      <c r="BY56" s="95"/>
      <c r="BZ56" s="95"/>
      <c r="CA56" s="95"/>
      <c r="CB56" s="95"/>
      <c r="CC56" s="95"/>
      <c r="CD56" s="95"/>
      <c r="CE56" s="95"/>
      <c r="CF56" s="95"/>
      <c r="CG56" s="95"/>
      <c r="CH56" s="95"/>
      <c r="CI56" s="95"/>
      <c r="CJ56" s="95"/>
      <c r="CK56" s="95"/>
      <c r="CL56" s="95"/>
      <c r="CM56" s="95"/>
      <c r="CN56" s="95"/>
      <c r="CO56" s="95"/>
      <c r="CP56" s="95"/>
      <c r="CQ56" s="95"/>
      <c r="CR56" s="95"/>
      <c r="CS56" s="95"/>
      <c r="CT56" s="95"/>
      <c r="CU56" s="95"/>
      <c r="CV56" s="95"/>
      <c r="CW56" s="95"/>
      <c r="CX56" s="95"/>
      <c r="CY56" s="95"/>
    </row>
    <row r="57" spans="2:103" ht="24" customHeight="1" x14ac:dyDescent="0.3">
      <c r="B57" s="95"/>
      <c r="C57" s="95"/>
      <c r="D57" s="95"/>
      <c r="E57" s="95"/>
      <c r="F57" s="95"/>
      <c r="G57" s="95"/>
      <c r="H57" s="95"/>
      <c r="L57" s="95"/>
      <c r="M57" s="95"/>
      <c r="N57" s="95"/>
      <c r="O57" s="95"/>
      <c r="P57" s="95"/>
      <c r="Q57" s="95"/>
      <c r="R57" s="95"/>
      <c r="S57" s="95"/>
      <c r="T57" s="95"/>
      <c r="U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5"/>
      <c r="BY57" s="95"/>
      <c r="BZ57" s="95"/>
      <c r="CA57" s="95"/>
      <c r="CB57" s="95"/>
      <c r="CC57" s="95"/>
      <c r="CD57" s="95"/>
      <c r="CE57" s="95"/>
      <c r="CF57" s="95"/>
      <c r="CG57" s="95"/>
      <c r="CH57" s="95"/>
      <c r="CI57" s="95"/>
      <c r="CJ57" s="95"/>
      <c r="CK57" s="95"/>
      <c r="CL57" s="95"/>
      <c r="CM57" s="95"/>
      <c r="CN57" s="95"/>
      <c r="CO57" s="95"/>
      <c r="CP57" s="95"/>
      <c r="CQ57" s="95"/>
      <c r="CR57" s="95"/>
      <c r="CS57" s="95"/>
      <c r="CT57" s="95"/>
      <c r="CU57" s="95"/>
      <c r="CV57" s="95"/>
      <c r="CW57" s="95"/>
      <c r="CX57" s="95"/>
      <c r="CY57" s="95"/>
    </row>
    <row r="58" spans="2:103" ht="24" customHeight="1" x14ac:dyDescent="0.3">
      <c r="B58" s="95"/>
      <c r="C58" s="95"/>
      <c r="D58" s="95"/>
      <c r="E58" s="95"/>
      <c r="F58" s="95"/>
      <c r="G58" s="95"/>
      <c r="H58" s="95"/>
      <c r="L58" s="95"/>
      <c r="M58" s="95"/>
      <c r="N58" s="95"/>
      <c r="O58" s="95"/>
      <c r="P58" s="95"/>
      <c r="Q58" s="95"/>
      <c r="R58" s="95"/>
      <c r="S58" s="95"/>
      <c r="T58" s="95"/>
      <c r="U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5"/>
      <c r="BY58" s="95"/>
      <c r="BZ58" s="95"/>
      <c r="CA58" s="95"/>
      <c r="CB58" s="95"/>
      <c r="CC58" s="95"/>
      <c r="CD58" s="95"/>
      <c r="CE58" s="95"/>
      <c r="CF58" s="95"/>
      <c r="CG58" s="95"/>
      <c r="CH58" s="95"/>
      <c r="CI58" s="95"/>
      <c r="CJ58" s="95"/>
      <c r="CK58" s="95"/>
      <c r="CL58" s="95"/>
      <c r="CM58" s="95"/>
      <c r="CN58" s="95"/>
      <c r="CO58" s="95"/>
      <c r="CP58" s="95"/>
      <c r="CQ58" s="95"/>
      <c r="CR58" s="95"/>
      <c r="CS58" s="95"/>
      <c r="CT58" s="95"/>
      <c r="CU58" s="95"/>
      <c r="CV58" s="95"/>
      <c r="CW58" s="95"/>
      <c r="CX58" s="95"/>
      <c r="CY58" s="95"/>
    </row>
    <row r="59" spans="2:103" ht="24" customHeight="1" x14ac:dyDescent="0.3">
      <c r="B59" s="95"/>
      <c r="C59" s="95"/>
      <c r="D59" s="95"/>
      <c r="E59" s="95"/>
      <c r="F59" s="95"/>
      <c r="G59" s="95"/>
      <c r="H59" s="95"/>
      <c r="L59" s="95"/>
      <c r="M59" s="95"/>
      <c r="N59" s="95"/>
      <c r="O59" s="95"/>
      <c r="P59" s="95"/>
      <c r="Q59" s="95"/>
      <c r="R59" s="95"/>
      <c r="S59" s="95"/>
      <c r="T59" s="95"/>
      <c r="U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5"/>
      <c r="BY59" s="95"/>
      <c r="BZ59" s="95"/>
      <c r="CA59" s="95"/>
      <c r="CB59" s="95"/>
      <c r="CC59" s="95"/>
      <c r="CD59" s="95"/>
      <c r="CE59" s="95"/>
      <c r="CF59" s="95"/>
      <c r="CG59" s="95"/>
      <c r="CH59" s="95"/>
      <c r="CI59" s="95"/>
      <c r="CJ59" s="95"/>
      <c r="CK59" s="95"/>
      <c r="CL59" s="95"/>
      <c r="CM59" s="95"/>
      <c r="CN59" s="95"/>
      <c r="CO59" s="95"/>
      <c r="CP59" s="95"/>
      <c r="CQ59" s="95"/>
      <c r="CR59" s="95"/>
      <c r="CS59" s="95"/>
      <c r="CT59" s="95"/>
      <c r="CU59" s="95"/>
      <c r="CV59" s="95"/>
      <c r="CW59" s="95"/>
      <c r="CX59" s="95"/>
      <c r="CY59" s="95"/>
    </row>
    <row r="60" spans="2:103" ht="24" customHeight="1" x14ac:dyDescent="0.3">
      <c r="B60" s="95"/>
      <c r="C60" s="95"/>
      <c r="D60" s="95"/>
      <c r="E60" s="95"/>
      <c r="F60" s="95"/>
      <c r="G60" s="95"/>
      <c r="H60" s="95"/>
      <c r="L60" s="95"/>
      <c r="M60" s="95"/>
      <c r="N60" s="95"/>
      <c r="O60" s="95"/>
      <c r="P60" s="95"/>
      <c r="Q60" s="95"/>
      <c r="R60" s="95"/>
      <c r="S60" s="95"/>
      <c r="T60" s="95"/>
      <c r="U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5"/>
      <c r="BY60" s="95"/>
      <c r="BZ60" s="95"/>
      <c r="CA60" s="95"/>
      <c r="CB60" s="95"/>
      <c r="CC60" s="95"/>
      <c r="CD60" s="95"/>
      <c r="CE60" s="95"/>
      <c r="CF60" s="95"/>
      <c r="CG60" s="95"/>
      <c r="CH60" s="95"/>
      <c r="CI60" s="95"/>
      <c r="CJ60" s="95"/>
      <c r="CK60" s="95"/>
      <c r="CL60" s="95"/>
      <c r="CM60" s="95"/>
      <c r="CN60" s="95"/>
      <c r="CO60" s="95"/>
      <c r="CP60" s="95"/>
      <c r="CQ60" s="95"/>
      <c r="CR60" s="95"/>
      <c r="CS60" s="95"/>
      <c r="CT60" s="95"/>
      <c r="CU60" s="95"/>
      <c r="CV60" s="95"/>
      <c r="CW60" s="95"/>
      <c r="CX60" s="95"/>
      <c r="CY60" s="95"/>
    </row>
    <row r="61" spans="2:103" ht="24" customHeight="1" x14ac:dyDescent="0.3">
      <c r="B61" s="95"/>
      <c r="C61" s="95"/>
      <c r="D61" s="95"/>
      <c r="E61" s="95"/>
      <c r="F61" s="95"/>
      <c r="G61" s="95"/>
      <c r="H61" s="95"/>
      <c r="L61" s="95"/>
      <c r="M61" s="95"/>
      <c r="N61" s="95"/>
      <c r="O61" s="95"/>
      <c r="P61" s="95"/>
      <c r="Q61" s="95"/>
      <c r="R61" s="95"/>
      <c r="S61" s="95"/>
      <c r="T61" s="95"/>
      <c r="U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5"/>
      <c r="BY61" s="95"/>
      <c r="BZ61" s="95"/>
      <c r="CA61" s="95"/>
      <c r="CB61" s="95"/>
      <c r="CC61" s="95"/>
      <c r="CD61" s="95"/>
      <c r="CE61" s="95"/>
      <c r="CF61" s="95"/>
      <c r="CG61" s="95"/>
      <c r="CH61" s="95"/>
      <c r="CI61" s="95"/>
      <c r="CJ61" s="95"/>
      <c r="CK61" s="95"/>
      <c r="CL61" s="95"/>
      <c r="CM61" s="95"/>
      <c r="CN61" s="95"/>
      <c r="CO61" s="95"/>
      <c r="CP61" s="95"/>
      <c r="CQ61" s="95"/>
      <c r="CR61" s="95"/>
      <c r="CS61" s="95"/>
      <c r="CT61" s="95"/>
      <c r="CU61" s="95"/>
      <c r="CV61" s="95"/>
      <c r="CW61" s="95"/>
      <c r="CX61" s="95"/>
      <c r="CY61" s="95"/>
    </row>
    <row r="62" spans="2:103" ht="24" customHeight="1" x14ac:dyDescent="0.3">
      <c r="B62" s="95"/>
      <c r="C62" s="95"/>
      <c r="D62" s="95"/>
      <c r="E62" s="95"/>
      <c r="F62" s="95"/>
      <c r="G62" s="95"/>
      <c r="H62" s="95"/>
      <c r="L62" s="95"/>
      <c r="M62" s="95"/>
      <c r="N62" s="95"/>
      <c r="O62" s="95"/>
      <c r="P62" s="95"/>
      <c r="Q62" s="95"/>
      <c r="R62" s="95"/>
      <c r="S62" s="95"/>
      <c r="T62" s="95"/>
      <c r="U62" s="95"/>
      <c r="W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95"/>
      <c r="BL62" s="95"/>
      <c r="BM62" s="95"/>
      <c r="BN62" s="95"/>
      <c r="BO62" s="95"/>
      <c r="BP62" s="95"/>
      <c r="BQ62" s="95"/>
      <c r="BR62" s="95"/>
      <c r="BS62" s="95"/>
      <c r="BT62" s="95"/>
      <c r="BU62" s="95"/>
      <c r="BV62" s="95"/>
      <c r="BW62" s="95"/>
      <c r="BX62" s="95"/>
      <c r="BY62" s="95"/>
      <c r="BZ62" s="95"/>
      <c r="CA62" s="95"/>
      <c r="CB62" s="95"/>
      <c r="CC62" s="95"/>
      <c r="CD62" s="95"/>
      <c r="CE62" s="95"/>
      <c r="CF62" s="95"/>
      <c r="CG62" s="95"/>
      <c r="CH62" s="95"/>
      <c r="CI62" s="95"/>
      <c r="CJ62" s="95"/>
      <c r="CK62" s="95"/>
      <c r="CL62" s="95"/>
      <c r="CM62" s="95"/>
      <c r="CN62" s="95"/>
      <c r="CO62" s="95"/>
      <c r="CP62" s="95"/>
      <c r="CQ62" s="95"/>
      <c r="CR62" s="95"/>
      <c r="CS62" s="95"/>
      <c r="CT62" s="95"/>
      <c r="CU62" s="95"/>
      <c r="CV62" s="95"/>
      <c r="CW62" s="95"/>
      <c r="CX62" s="95"/>
      <c r="CY62" s="95"/>
    </row>
    <row r="73" spans="2:8" x14ac:dyDescent="0.3">
      <c r="B73" s="112"/>
      <c r="C73" s="112"/>
      <c r="D73" s="112"/>
      <c r="E73" s="112"/>
      <c r="F73" s="112"/>
      <c r="G73" s="112"/>
      <c r="H73" s="112"/>
    </row>
    <row r="74" spans="2:8" x14ac:dyDescent="0.3">
      <c r="B74" s="112"/>
      <c r="C74" s="112"/>
      <c r="D74" s="112"/>
      <c r="E74" s="112"/>
      <c r="F74" s="112"/>
      <c r="G74" s="112"/>
      <c r="H74" s="112"/>
    </row>
    <row r="75" spans="2:8" x14ac:dyDescent="0.3">
      <c r="B75" s="112"/>
      <c r="C75" s="113" t="s">
        <v>4</v>
      </c>
      <c r="D75" s="114">
        <v>23</v>
      </c>
      <c r="E75" s="115">
        <f>D75/D77</f>
        <v>0.71875</v>
      </c>
      <c r="F75" s="112"/>
      <c r="G75" s="112"/>
      <c r="H75" s="112"/>
    </row>
    <row r="76" spans="2:8" x14ac:dyDescent="0.3">
      <c r="B76" s="112"/>
      <c r="C76" s="113" t="s">
        <v>3</v>
      </c>
      <c r="D76" s="114">
        <f>KPIs!Q5</f>
        <v>9</v>
      </c>
      <c r="E76" s="115">
        <f>D76/D77</f>
        <v>0.28125</v>
      </c>
      <c r="F76" s="112"/>
      <c r="G76" s="112"/>
      <c r="H76" s="112"/>
    </row>
    <row r="77" spans="2:8" x14ac:dyDescent="0.3">
      <c r="B77" s="112"/>
      <c r="C77" s="116" t="s">
        <v>14</v>
      </c>
      <c r="D77" s="114">
        <f>SUM(D75:D76)</f>
        <v>32</v>
      </c>
      <c r="E77" s="116"/>
      <c r="F77" s="112"/>
      <c r="G77" s="112"/>
      <c r="H77" s="112"/>
    </row>
    <row r="78" spans="2:8" x14ac:dyDescent="0.3">
      <c r="B78" s="112"/>
      <c r="C78" s="116"/>
      <c r="D78" s="114"/>
      <c r="E78" s="116"/>
      <c r="F78" s="112"/>
      <c r="G78" s="112"/>
      <c r="H78" s="112"/>
    </row>
    <row r="79" spans="2:8" x14ac:dyDescent="0.3">
      <c r="B79" s="112"/>
      <c r="C79" s="116"/>
      <c r="D79" s="114"/>
      <c r="E79" s="116"/>
      <c r="F79" s="112"/>
      <c r="G79" s="112"/>
      <c r="H79" s="112"/>
    </row>
    <row r="80" spans="2:8" x14ac:dyDescent="0.3">
      <c r="B80" s="112"/>
      <c r="C80" s="116"/>
      <c r="D80" s="114"/>
      <c r="E80" s="116"/>
      <c r="F80" s="112"/>
      <c r="G80" s="112"/>
      <c r="H80" s="112"/>
    </row>
    <row r="81" spans="1:21" x14ac:dyDescent="0.3">
      <c r="B81" s="112"/>
      <c r="C81" s="116"/>
      <c r="D81" s="114"/>
      <c r="E81" s="116"/>
      <c r="F81" s="112"/>
      <c r="G81" s="112"/>
      <c r="H81" s="112"/>
    </row>
    <row r="82" spans="1:21" x14ac:dyDescent="0.3">
      <c r="B82" s="112"/>
      <c r="C82" s="116"/>
      <c r="D82" s="114"/>
      <c r="E82" s="116"/>
      <c r="F82" s="112"/>
      <c r="G82" s="112"/>
      <c r="H82" s="112"/>
    </row>
    <row r="83" spans="1:21" x14ac:dyDescent="0.3">
      <c r="B83" s="112"/>
      <c r="C83" s="116" t="s">
        <v>19</v>
      </c>
      <c r="D83" s="115">
        <f>IFERROR(SUM(KPIs!#REF!)/(KPIs!#REF!+KPIs!#REF!),0)</f>
        <v>0</v>
      </c>
      <c r="E83" s="116"/>
      <c r="F83" s="112"/>
      <c r="G83" s="112"/>
      <c r="H83" s="112"/>
    </row>
    <row r="84" spans="1:21" x14ac:dyDescent="0.3">
      <c r="B84" s="112"/>
      <c r="C84" s="116" t="s">
        <v>15</v>
      </c>
      <c r="D84" s="115">
        <f>IFERROR(SUM(KPIs!#REF!)/(KPIs!#REF!+KPIs!#REF!),0)</f>
        <v>0</v>
      </c>
      <c r="E84" s="116"/>
      <c r="F84" s="112"/>
      <c r="G84" s="112"/>
      <c r="H84" s="112"/>
    </row>
    <row r="85" spans="1:21" x14ac:dyDescent="0.3">
      <c r="B85" s="112"/>
      <c r="C85" s="116" t="s">
        <v>16</v>
      </c>
      <c r="D85" s="115">
        <f>IFERROR(SUM(KPIs!#REF!)/(KPIs!#REF!+KPIs!#REF!+KPIs!#REF!),0)</f>
        <v>0</v>
      </c>
      <c r="E85" s="116"/>
      <c r="F85" s="112"/>
      <c r="G85" s="112"/>
      <c r="H85" s="112"/>
    </row>
    <row r="86" spans="1:21" x14ac:dyDescent="0.3">
      <c r="B86" s="112"/>
      <c r="C86" s="116" t="s">
        <v>20</v>
      </c>
      <c r="D86" s="115">
        <f>IFERROR(SUM(KPIs!#REF!)/(KPIs!#REF!+KPIs!#REF!+KPIs!#REF!),0)</f>
        <v>0</v>
      </c>
      <c r="E86" s="116"/>
      <c r="F86" s="112"/>
      <c r="G86" s="112"/>
      <c r="H86" s="112"/>
    </row>
    <row r="87" spans="1:21" x14ac:dyDescent="0.3">
      <c r="B87" s="112"/>
      <c r="C87" s="116" t="s">
        <v>17</v>
      </c>
      <c r="D87" s="115">
        <f>IFERROR(SUM(KPIs!#REF!)/(KPIs!#REF!+KPIs!#REF!+KPIs!#REF!),0)</f>
        <v>0</v>
      </c>
      <c r="E87" s="116"/>
      <c r="F87" s="112"/>
      <c r="G87" s="112"/>
      <c r="H87" s="112"/>
    </row>
    <row r="88" spans="1:21" ht="16.2" x14ac:dyDescent="0.3">
      <c r="B88" s="112"/>
      <c r="C88" s="100" t="s">
        <v>18</v>
      </c>
      <c r="D88" s="117">
        <f>KPIs!S3</f>
        <v>-0.33333333333333337</v>
      </c>
      <c r="E88" s="100"/>
      <c r="F88" s="112"/>
      <c r="G88" s="112"/>
      <c r="H88" s="112"/>
    </row>
    <row r="89" spans="1:21" x14ac:dyDescent="0.3">
      <c r="A89" s="102"/>
      <c r="B89" s="118"/>
      <c r="C89" s="118"/>
      <c r="D89" s="118"/>
      <c r="E89" s="118"/>
      <c r="F89" s="118"/>
      <c r="G89" s="118"/>
      <c r="H89" s="118"/>
      <c r="I89" s="102"/>
      <c r="J89" s="102"/>
      <c r="K89" s="102"/>
      <c r="L89" s="118"/>
      <c r="M89" s="118"/>
      <c r="N89" s="118"/>
      <c r="O89" s="118"/>
      <c r="P89" s="118"/>
      <c r="Q89" s="118"/>
      <c r="R89" s="118"/>
      <c r="S89" s="118"/>
      <c r="T89" s="118"/>
      <c r="U89" s="118"/>
    </row>
    <row r="90" spans="1:21" x14ac:dyDescent="0.3">
      <c r="A90" s="102"/>
      <c r="B90" s="119"/>
      <c r="C90" s="119"/>
      <c r="D90" s="119"/>
      <c r="E90" s="119"/>
      <c r="F90" s="119"/>
      <c r="G90" s="119"/>
      <c r="H90" s="119"/>
      <c r="I90" s="120"/>
      <c r="J90" s="120"/>
      <c r="K90" s="120"/>
      <c r="L90" s="119"/>
      <c r="M90" s="119"/>
      <c r="N90" s="119"/>
      <c r="O90" s="119"/>
      <c r="P90" s="119"/>
      <c r="Q90" s="119"/>
      <c r="R90" s="119"/>
      <c r="S90" s="118"/>
      <c r="T90" s="118"/>
      <c r="U90" s="118"/>
    </row>
    <row r="91" spans="1:21" x14ac:dyDescent="0.3">
      <c r="A91" s="102"/>
      <c r="B91" s="119">
        <v>2</v>
      </c>
      <c r="C91" s="118" t="str">
        <f>IF(B91=1,KPIs!#REF!,KPIs!C9)</f>
        <v>Employee Turnover Rate (%)</v>
      </c>
      <c r="D91" s="119">
        <f>IF($B$91=1,KPIs!#REF!,KPIs!E9)</f>
        <v>0.08</v>
      </c>
      <c r="E91" s="119">
        <f>IF($B$91=1,KPIs!#REF!,KPIs!F9)</f>
        <v>0.06</v>
      </c>
      <c r="F91" s="119">
        <f>IF($B$91=1,KPIs!#REF!,KPIs!G9)</f>
        <v>0.08</v>
      </c>
      <c r="G91" s="119">
        <f>IF($B$91=1,KPIs!#REF!,KPIs!H9)</f>
        <v>0.1</v>
      </c>
      <c r="H91" s="119">
        <f>IF($B$91=1,KPIs!#REF!,KPIs!I9)</f>
        <v>0.04</v>
      </c>
      <c r="I91" s="120">
        <f>IF($B$91=1,KPIs!#REF!,KPIs!J9)</f>
        <v>7.0000000000000007E-2</v>
      </c>
      <c r="J91" s="120">
        <f>IF($B$91=1,KPIs!#REF!,KPIs!K9)</f>
        <v>0.02</v>
      </c>
      <c r="K91" s="120">
        <f>IF($B$91=1,KPIs!#REF!,KPIs!L9)</f>
        <v>0.08</v>
      </c>
      <c r="L91" s="119">
        <f>IF($B$91=1,KPIs!#REF!,KPIs!M9)</f>
        <v>0.01</v>
      </c>
      <c r="M91" s="119">
        <f>IF($B$91=1,KPIs!#REF!,KPIs!N9)</f>
        <v>7.0000000000000007E-2</v>
      </c>
      <c r="N91" s="119">
        <f>IF($B$91=1,KPIs!#REF!,KPIs!O9)</f>
        <v>0.1</v>
      </c>
      <c r="O91" s="119">
        <f>IF($B$91=1,KPIs!#REF!,KPIs!P9)</f>
        <v>0.01</v>
      </c>
      <c r="P91" s="119"/>
      <c r="Q91" s="119"/>
      <c r="R91" s="119"/>
      <c r="S91" s="118"/>
      <c r="T91" s="118"/>
      <c r="U91" s="118"/>
    </row>
    <row r="92" spans="1:21" x14ac:dyDescent="0.3">
      <c r="A92" s="102"/>
      <c r="B92" s="119"/>
      <c r="C92" s="119"/>
      <c r="D92" s="119"/>
      <c r="E92" s="119"/>
      <c r="F92" s="119"/>
      <c r="G92" s="119"/>
      <c r="H92" s="119"/>
      <c r="I92" s="120"/>
      <c r="J92" s="120"/>
      <c r="K92" s="120"/>
      <c r="L92" s="119"/>
      <c r="M92" s="119"/>
      <c r="N92" s="119"/>
      <c r="O92" s="119"/>
      <c r="P92" s="119"/>
      <c r="Q92" s="119"/>
      <c r="R92" s="119"/>
      <c r="S92" s="118"/>
      <c r="T92" s="118"/>
      <c r="U92" s="118"/>
    </row>
    <row r="93" spans="1:21" x14ac:dyDescent="0.3">
      <c r="A93" s="102"/>
      <c r="B93" s="119"/>
      <c r="C93" s="119"/>
      <c r="D93" s="119"/>
      <c r="E93" s="119"/>
      <c r="F93" s="119"/>
      <c r="G93" s="119"/>
      <c r="H93" s="119"/>
      <c r="I93" s="120"/>
      <c r="J93" s="120"/>
      <c r="K93" s="120"/>
      <c r="L93" s="119"/>
      <c r="M93" s="119"/>
      <c r="N93" s="119"/>
      <c r="O93" s="119"/>
      <c r="P93" s="119"/>
      <c r="Q93" s="119"/>
      <c r="R93" s="119"/>
      <c r="S93" s="118"/>
      <c r="T93" s="118"/>
      <c r="U93" s="118"/>
    </row>
    <row r="94" spans="1:21" x14ac:dyDescent="0.3">
      <c r="A94" s="102"/>
      <c r="B94" s="119"/>
      <c r="C94" s="119"/>
      <c r="D94" s="119"/>
      <c r="E94" s="119"/>
      <c r="F94" s="119"/>
      <c r="G94" s="119"/>
      <c r="H94" s="119"/>
      <c r="I94" s="120"/>
      <c r="J94" s="120"/>
      <c r="K94" s="120"/>
      <c r="L94" s="119"/>
      <c r="M94" s="119"/>
      <c r="N94" s="119"/>
      <c r="O94" s="119"/>
      <c r="P94" s="119"/>
      <c r="Q94" s="119"/>
      <c r="R94" s="119"/>
      <c r="S94" s="118"/>
      <c r="T94" s="118"/>
      <c r="U94" s="118"/>
    </row>
    <row r="95" spans="1:21" x14ac:dyDescent="0.3">
      <c r="A95" s="102"/>
      <c r="B95" s="118"/>
      <c r="C95" s="118"/>
      <c r="D95" s="118"/>
      <c r="E95" s="118"/>
      <c r="F95" s="118"/>
      <c r="G95" s="118"/>
      <c r="H95" s="118"/>
      <c r="I95" s="102"/>
      <c r="J95" s="102"/>
      <c r="K95" s="102"/>
      <c r="L95" s="118"/>
      <c r="M95" s="118"/>
      <c r="N95" s="118"/>
      <c r="O95" s="118"/>
      <c r="P95" s="118"/>
      <c r="Q95" s="118"/>
      <c r="R95" s="118"/>
      <c r="S95" s="118"/>
      <c r="T95" s="118"/>
      <c r="U95" s="118"/>
    </row>
    <row r="96" spans="1:21" x14ac:dyDescent="0.3">
      <c r="A96" s="102"/>
      <c r="B96" s="118"/>
      <c r="C96" s="118"/>
      <c r="D96" s="118"/>
      <c r="E96" s="118"/>
      <c r="F96" s="118"/>
      <c r="G96" s="118"/>
      <c r="H96" s="118"/>
      <c r="I96" s="102"/>
      <c r="J96" s="102"/>
      <c r="K96" s="102"/>
      <c r="L96" s="118"/>
      <c r="M96" s="118"/>
      <c r="N96" s="118"/>
      <c r="O96" s="118"/>
      <c r="P96" s="118"/>
      <c r="Q96" s="118"/>
      <c r="R96" s="118"/>
      <c r="S96" s="118"/>
      <c r="T96" s="118"/>
      <c r="U96" s="118"/>
    </row>
    <row r="97" spans="1:21" x14ac:dyDescent="0.3">
      <c r="A97" s="102"/>
      <c r="B97" s="118"/>
      <c r="C97" s="118"/>
      <c r="D97" s="118"/>
      <c r="E97" s="118"/>
      <c r="F97" s="118"/>
      <c r="G97" s="118"/>
      <c r="H97" s="118"/>
      <c r="I97" s="102"/>
      <c r="J97" s="102"/>
      <c r="K97" s="102"/>
      <c r="L97" s="118"/>
      <c r="M97" s="118"/>
      <c r="N97" s="118"/>
      <c r="O97" s="118"/>
      <c r="P97" s="118"/>
      <c r="Q97" s="118"/>
      <c r="R97" s="118"/>
      <c r="S97" s="118"/>
      <c r="T97" s="118"/>
      <c r="U97" s="118"/>
    </row>
    <row r="98" spans="1:21" x14ac:dyDescent="0.3">
      <c r="A98" s="102"/>
      <c r="B98" s="118"/>
      <c r="C98" s="118"/>
      <c r="D98" s="118"/>
      <c r="E98" s="118"/>
      <c r="F98" s="118"/>
      <c r="G98" s="118"/>
      <c r="H98" s="118"/>
      <c r="I98" s="102"/>
      <c r="J98" s="102"/>
      <c r="K98" s="102"/>
      <c r="L98" s="118"/>
      <c r="M98" s="118"/>
      <c r="N98" s="118"/>
      <c r="O98" s="118"/>
      <c r="P98" s="118"/>
      <c r="Q98" s="118"/>
      <c r="R98" s="118"/>
      <c r="S98" s="118"/>
      <c r="T98" s="118"/>
      <c r="U98" s="118"/>
    </row>
    <row r="99" spans="1:21" x14ac:dyDescent="0.3">
      <c r="A99" s="102"/>
      <c r="B99" s="118"/>
      <c r="C99" s="118"/>
      <c r="D99" s="118"/>
      <c r="E99" s="118"/>
      <c r="F99" s="118"/>
      <c r="G99" s="118"/>
      <c r="H99" s="118"/>
      <c r="I99" s="102"/>
      <c r="J99" s="102"/>
      <c r="K99" s="102"/>
      <c r="L99" s="118"/>
      <c r="M99" s="118"/>
      <c r="N99" s="118"/>
      <c r="O99" s="118"/>
      <c r="P99" s="118"/>
      <c r="Q99" s="118"/>
      <c r="R99" s="118"/>
      <c r="S99" s="118"/>
      <c r="T99" s="118"/>
      <c r="U99" s="118"/>
    </row>
    <row r="100" spans="1:21" x14ac:dyDescent="0.3">
      <c r="A100" s="102"/>
      <c r="B100" s="118"/>
      <c r="C100" s="118"/>
      <c r="D100" s="118"/>
      <c r="E100" s="118"/>
      <c r="F100" s="118"/>
      <c r="G100" s="118"/>
      <c r="H100" s="118"/>
      <c r="I100" s="102"/>
      <c r="J100" s="102"/>
      <c r="K100" s="102"/>
      <c r="L100" s="118"/>
      <c r="M100" s="118"/>
      <c r="N100" s="118"/>
      <c r="O100" s="118"/>
      <c r="P100" s="118"/>
      <c r="Q100" s="118"/>
      <c r="R100" s="118"/>
      <c r="S100" s="118"/>
      <c r="T100" s="118"/>
      <c r="U100" s="118"/>
    </row>
    <row r="101" spans="1:21" x14ac:dyDescent="0.3">
      <c r="A101" s="102"/>
      <c r="B101" s="118"/>
      <c r="C101" s="118"/>
      <c r="D101" s="118"/>
      <c r="E101" s="118"/>
      <c r="F101" s="118"/>
      <c r="G101" s="118"/>
      <c r="H101" s="118"/>
      <c r="I101" s="102"/>
      <c r="J101" s="102"/>
      <c r="K101" s="102"/>
      <c r="L101" s="118"/>
      <c r="M101" s="118"/>
      <c r="N101" s="118"/>
      <c r="O101" s="118"/>
      <c r="P101" s="118"/>
      <c r="Q101" s="118"/>
      <c r="R101" s="118"/>
      <c r="S101" s="118"/>
      <c r="T101" s="118"/>
      <c r="U101" s="118"/>
    </row>
    <row r="102" spans="1:21" x14ac:dyDescent="0.3">
      <c r="A102" s="102"/>
      <c r="B102" s="118"/>
      <c r="C102" s="118"/>
      <c r="D102" s="118"/>
      <c r="E102" s="118"/>
      <c r="F102" s="118"/>
      <c r="G102" s="118"/>
      <c r="H102" s="118"/>
      <c r="I102" s="102"/>
      <c r="J102" s="102"/>
      <c r="K102" s="102"/>
      <c r="L102" s="118"/>
      <c r="M102" s="118"/>
      <c r="N102" s="118"/>
      <c r="O102" s="118"/>
      <c r="P102" s="118"/>
      <c r="Q102" s="118"/>
      <c r="R102" s="118"/>
      <c r="S102" s="118"/>
      <c r="T102" s="118"/>
      <c r="U102" s="118"/>
    </row>
    <row r="103" spans="1:21" x14ac:dyDescent="0.3">
      <c r="B103" s="118"/>
      <c r="C103" s="118"/>
      <c r="D103" s="118"/>
      <c r="E103" s="118"/>
      <c r="F103" s="118"/>
      <c r="G103" s="118"/>
      <c r="H103" s="118"/>
      <c r="I103" s="102"/>
      <c r="J103" s="102"/>
      <c r="K103" s="102"/>
      <c r="L103" s="118"/>
      <c r="M103" s="118"/>
      <c r="N103" s="118"/>
      <c r="O103" s="118"/>
      <c r="P103" s="118"/>
    </row>
    <row r="104" spans="1:21" x14ac:dyDescent="0.3">
      <c r="B104" s="118"/>
      <c r="C104" s="118"/>
      <c r="D104" s="118"/>
      <c r="E104" s="118"/>
      <c r="F104" s="118"/>
      <c r="G104" s="118"/>
      <c r="H104" s="118"/>
      <c r="I104" s="102"/>
      <c r="J104" s="102"/>
      <c r="K104" s="102"/>
      <c r="L104" s="118"/>
      <c r="M104" s="118"/>
      <c r="N104" s="118"/>
      <c r="O104" s="118"/>
      <c r="P104" s="118"/>
    </row>
    <row r="105" spans="1:21" x14ac:dyDescent="0.3">
      <c r="B105" s="118"/>
      <c r="C105" s="118"/>
      <c r="D105" s="118"/>
      <c r="E105" s="118"/>
      <c r="F105" s="118"/>
      <c r="G105" s="118"/>
      <c r="H105" s="118"/>
      <c r="I105" s="102"/>
      <c r="J105" s="102"/>
      <c r="K105" s="102"/>
      <c r="L105" s="118"/>
      <c r="M105" s="118"/>
      <c r="N105" s="118"/>
      <c r="O105" s="118"/>
      <c r="P105" s="118"/>
    </row>
    <row r="106" spans="1:21" x14ac:dyDescent="0.3">
      <c r="B106" s="118"/>
      <c r="C106" s="118"/>
      <c r="D106" s="118"/>
      <c r="E106" s="118"/>
      <c r="F106" s="118"/>
      <c r="G106" s="118"/>
      <c r="H106" s="118"/>
      <c r="I106" s="102"/>
      <c r="J106" s="102"/>
      <c r="K106" s="102"/>
      <c r="L106" s="118"/>
      <c r="M106" s="118"/>
      <c r="N106" s="118"/>
      <c r="O106" s="118"/>
      <c r="P106" s="118"/>
    </row>
    <row r="107" spans="1:21" x14ac:dyDescent="0.3">
      <c r="B107" s="118"/>
      <c r="C107" s="118"/>
      <c r="D107" s="118"/>
      <c r="E107" s="118"/>
      <c r="F107" s="118"/>
      <c r="G107" s="118"/>
      <c r="H107" s="118"/>
      <c r="I107" s="102"/>
      <c r="J107" s="102"/>
      <c r="K107" s="102"/>
      <c r="L107" s="118"/>
      <c r="M107" s="118"/>
      <c r="N107" s="118"/>
      <c r="O107" s="118"/>
      <c r="P107" s="118"/>
    </row>
  </sheetData>
  <mergeCells count="42">
    <mergeCell ref="T3:U3"/>
    <mergeCell ref="P3:R3"/>
    <mergeCell ref="L8:N8"/>
    <mergeCell ref="B1:F1"/>
    <mergeCell ref="N1:P1"/>
    <mergeCell ref="B3:C3"/>
    <mergeCell ref="F3:H3"/>
    <mergeCell ref="T8:U8"/>
    <mergeCell ref="F12:H12"/>
    <mergeCell ref="B12:D12"/>
    <mergeCell ref="B8:D8"/>
    <mergeCell ref="F8:H8"/>
    <mergeCell ref="P8:R8"/>
    <mergeCell ref="B9:D10"/>
    <mergeCell ref="F9:H10"/>
    <mergeCell ref="L9:N10"/>
    <mergeCell ref="L14:N14"/>
    <mergeCell ref="L18:N18"/>
    <mergeCell ref="L15:N16"/>
    <mergeCell ref="P9:R10"/>
    <mergeCell ref="P12:R12"/>
    <mergeCell ref="P14:R14"/>
    <mergeCell ref="L12:N12"/>
    <mergeCell ref="T18:U18"/>
    <mergeCell ref="P15:R16"/>
    <mergeCell ref="T12:U12"/>
    <mergeCell ref="T15:V16"/>
    <mergeCell ref="T9:V10"/>
    <mergeCell ref="P18:R18"/>
    <mergeCell ref="T14:U14"/>
    <mergeCell ref="B24:C24"/>
    <mergeCell ref="F24:G24"/>
    <mergeCell ref="F20:H20"/>
    <mergeCell ref="B20:D20"/>
    <mergeCell ref="F21:H22"/>
    <mergeCell ref="B21:D22"/>
    <mergeCell ref="B14:D14"/>
    <mergeCell ref="B15:D16"/>
    <mergeCell ref="B18:D18"/>
    <mergeCell ref="F15:H16"/>
    <mergeCell ref="F14:H14"/>
    <mergeCell ref="F18:H18"/>
  </mergeCells>
  <conditionalFormatting sqref="D88">
    <cfRule type="expression" dxfId="31" priority="21">
      <formula>$D$88&lt;0</formula>
    </cfRule>
    <cfRule type="expression" dxfId="30" priority="22">
      <formula>$D$88&gt;0</formula>
    </cfRule>
  </conditionalFormatting>
  <conditionalFormatting sqref="E88">
    <cfRule type="expression" dxfId="29" priority="19">
      <formula>$D$88&lt;0</formula>
    </cfRule>
  </conditionalFormatting>
  <dataValidations count="1">
    <dataValidation type="list" allowBlank="1" showInputMessage="1" showErrorMessage="1" sqref="X3" xr:uid="{00000000-0002-0000-0100-000000000000}">
      <formula1>Months</formula1>
    </dataValidation>
  </dataValidations>
  <pageMargins left="0.25" right="0.25" top="0.75" bottom="0.75" header="0.3" footer="0.3"/>
  <pageSetup scale="70" orientation="landscape" r:id="rId1"/>
  <colBreaks count="1" manualBreakCount="1">
    <brk id="19" max="69" man="1"/>
  </col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3ACC6-01EC-49C0-A2CF-381D94C1B080}">
  <sheetPr>
    <tabColor theme="9"/>
  </sheetPr>
  <dimension ref="B2:G19"/>
  <sheetViews>
    <sheetView workbookViewId="0">
      <selection activeCell="D8" sqref="D8"/>
    </sheetView>
  </sheetViews>
  <sheetFormatPr defaultRowHeight="14.4" x14ac:dyDescent="0.35"/>
  <cols>
    <col min="1" max="1" width="8.88671875" style="166"/>
    <col min="2" max="2" width="25.6640625" style="166" customWidth="1"/>
    <col min="3" max="3" width="9.44140625" style="166" customWidth="1"/>
    <col min="4" max="4" width="8.88671875" style="166"/>
    <col min="5" max="5" width="0.5546875" style="166" customWidth="1"/>
    <col min="6" max="6" width="11" style="166" customWidth="1"/>
    <col min="7" max="7" width="10.88671875" style="166" bestFit="1" customWidth="1"/>
    <col min="8" max="16384" width="8.88671875" style="166"/>
  </cols>
  <sheetData>
    <row r="2" spans="2:7" ht="16.2" x14ac:dyDescent="0.35">
      <c r="B2" s="265" t="s">
        <v>109</v>
      </c>
      <c r="C2" s="265"/>
    </row>
    <row r="4" spans="2:7" x14ac:dyDescent="0.35">
      <c r="B4" s="197" t="s">
        <v>105</v>
      </c>
      <c r="C4" s="196" t="s">
        <v>74</v>
      </c>
    </row>
    <row r="6" spans="2:7" x14ac:dyDescent="0.35">
      <c r="B6" s="198" t="s">
        <v>101</v>
      </c>
      <c r="C6" s="198" t="s">
        <v>108</v>
      </c>
      <c r="D6" s="198" t="s">
        <v>21</v>
      </c>
      <c r="E6" s="214"/>
      <c r="F6" s="198" t="s">
        <v>106</v>
      </c>
      <c r="G6" s="198" t="s">
        <v>107</v>
      </c>
    </row>
    <row r="7" spans="2:7" customFormat="1" ht="4.2" customHeight="1" x14ac:dyDescent="0.3">
      <c r="E7" s="215"/>
    </row>
    <row r="8" spans="2:7" x14ac:dyDescent="0.35">
      <c r="B8" s="199" t="s">
        <v>18</v>
      </c>
      <c r="C8" s="200">
        <f>INDEX('Annual Budget'!$C$2:$P$15,MATCH('Dashboard - Budget vs Actual'!B8,'Annual Budget'!$C$2:$C$15,0),MATCH('Dashboard - Budget vs Actual'!$C$4,'Annual Budget'!$B$2:$P$2,0))</f>
        <v>1000</v>
      </c>
      <c r="D8" s="208">
        <f>SUMIFS(Actuals!H:H,Actuals!F:F,'Dashboard - Budget vs Actual'!B8,Actuals!D:D,'Dashboard - Budget vs Actual'!$C$4)</f>
        <v>39</v>
      </c>
      <c r="E8" s="216"/>
      <c r="F8" s="211">
        <f>D8-C8</f>
        <v>-961</v>
      </c>
      <c r="G8" s="201">
        <f>D8/C8-1</f>
        <v>-0.96099999999999997</v>
      </c>
    </row>
    <row r="9" spans="2:7" x14ac:dyDescent="0.35">
      <c r="B9" s="202" t="s">
        <v>89</v>
      </c>
      <c r="C9" s="203">
        <f>INDEX('Annual Budget'!$C$2:$P$15,MATCH('Dashboard - Budget vs Actual'!B9,'Annual Budget'!$C$2:$C$15,0),MATCH('Dashboard - Budget vs Actual'!$C$4,'Annual Budget'!$B$2:$P$2,0))</f>
        <v>0.06</v>
      </c>
      <c r="D9" s="209">
        <f>SUMIFS(Actuals!H:H,Actuals!F:F,'Dashboard - Budget vs Actual'!B9,Actuals!D:D,'Dashboard - Budget vs Actual'!$C$4)</f>
        <v>0</v>
      </c>
      <c r="E9" s="216"/>
      <c r="F9" s="212">
        <f>C9-D9</f>
        <v>0.06</v>
      </c>
      <c r="G9" s="204">
        <f t="shared" ref="G9:G19" si="0">D9/C9-1</f>
        <v>-1</v>
      </c>
    </row>
    <row r="10" spans="2:7" x14ac:dyDescent="0.35">
      <c r="B10" s="202" t="s">
        <v>90</v>
      </c>
      <c r="C10" s="203">
        <f>INDEX('Annual Budget'!$C$2:$P$15,MATCH('Dashboard - Budget vs Actual'!B10,'Annual Budget'!$C$2:$C$15,0),MATCH('Dashboard - Budget vs Actual'!$C$4,'Annual Budget'!$B$2:$P$2,0))</f>
        <v>0</v>
      </c>
      <c r="D10" s="209">
        <f>SUMIFS(Actuals!H:H,Actuals!F:F,'Dashboard - Budget vs Actual'!B10,Actuals!D:D,'Dashboard - Budget vs Actual'!$C$4)</f>
        <v>0</v>
      </c>
      <c r="E10" s="216"/>
      <c r="F10" s="212">
        <f>C10-D10</f>
        <v>0</v>
      </c>
      <c r="G10" s="204" t="e">
        <f t="shared" si="0"/>
        <v>#DIV/0!</v>
      </c>
    </row>
    <row r="11" spans="2:7" x14ac:dyDescent="0.35">
      <c r="B11" s="202" t="s">
        <v>91</v>
      </c>
      <c r="C11" s="203">
        <f>INDEX('Annual Budget'!$C$2:$P$15,MATCH('Dashboard - Budget vs Actual'!B11,'Annual Budget'!$C$2:$C$15,0),MATCH('Dashboard - Budget vs Actual'!$C$4,'Annual Budget'!$B$2:$P$2,0))</f>
        <v>0</v>
      </c>
      <c r="D11" s="209">
        <f>SUMIFS(Actuals!H:H,Actuals!F:F,'Dashboard - Budget vs Actual'!B11,Actuals!D:D,'Dashboard - Budget vs Actual'!$C$4)</f>
        <v>0</v>
      </c>
      <c r="E11" s="216"/>
      <c r="F11" s="212">
        <f>D11-C11</f>
        <v>0</v>
      </c>
      <c r="G11" s="204" t="e">
        <f t="shared" si="0"/>
        <v>#DIV/0!</v>
      </c>
    </row>
    <row r="12" spans="2:7" x14ac:dyDescent="0.35">
      <c r="B12" s="202" t="s">
        <v>92</v>
      </c>
      <c r="C12" s="203">
        <f>INDEX('Annual Budget'!$C$2:$P$15,MATCH('Dashboard - Budget vs Actual'!B12,'Annual Budget'!$C$2:$C$15,0),MATCH('Dashboard - Budget vs Actual'!$C$4,'Annual Budget'!$B$2:$P$2,0))</f>
        <v>0</v>
      </c>
      <c r="D12" s="209">
        <f>SUMIFS(Actuals!H:H,Actuals!F:F,'Dashboard - Budget vs Actual'!B12,Actuals!D:D,'Dashboard - Budget vs Actual'!$C$4)</f>
        <v>0</v>
      </c>
      <c r="E12" s="216"/>
      <c r="F12" s="212">
        <f>D12-C12</f>
        <v>0</v>
      </c>
      <c r="G12" s="204" t="e">
        <f t="shared" si="0"/>
        <v>#DIV/0!</v>
      </c>
    </row>
    <row r="13" spans="2:7" ht="28.8" x14ac:dyDescent="0.35">
      <c r="B13" s="202" t="s">
        <v>93</v>
      </c>
      <c r="C13" s="203">
        <f>INDEX('Annual Budget'!$C$2:$P$15,MATCH('Dashboard - Budget vs Actual'!B13,'Annual Budget'!$C$2:$C$15,0),MATCH('Dashboard - Budget vs Actual'!$C$4,'Annual Budget'!$B$2:$P$2,0))</f>
        <v>0</v>
      </c>
      <c r="D13" s="209">
        <f>SUMIFS(Actuals!H:H,Actuals!F:F,'Dashboard - Budget vs Actual'!B13,Actuals!D:D,'Dashboard - Budget vs Actual'!$C$4)</f>
        <v>0</v>
      </c>
      <c r="E13" s="216"/>
      <c r="F13" s="212">
        <f>D13-C13</f>
        <v>0</v>
      </c>
      <c r="G13" s="204" t="e">
        <f t="shared" si="0"/>
        <v>#DIV/0!</v>
      </c>
    </row>
    <row r="14" spans="2:7" ht="28.8" x14ac:dyDescent="0.35">
      <c r="B14" s="202" t="s">
        <v>94</v>
      </c>
      <c r="C14" s="203">
        <f>INDEX('Annual Budget'!$C$2:$P$15,MATCH('Dashboard - Budget vs Actual'!B14,'Annual Budget'!$C$2:$C$15,0),MATCH('Dashboard - Budget vs Actual'!$C$4,'Annual Budget'!$B$2:$P$2,0))</f>
        <v>0</v>
      </c>
      <c r="D14" s="209">
        <f>SUMIFS(Actuals!H:H,Actuals!F:F,'Dashboard - Budget vs Actual'!B14,Actuals!D:D,'Dashboard - Budget vs Actual'!$C$4)</f>
        <v>0</v>
      </c>
      <c r="E14" s="216"/>
      <c r="F14" s="212">
        <f>D14-C14</f>
        <v>0</v>
      </c>
      <c r="G14" s="204" t="e">
        <f t="shared" si="0"/>
        <v>#DIV/0!</v>
      </c>
    </row>
    <row r="15" spans="2:7" x14ac:dyDescent="0.35">
      <c r="B15" s="202" t="s">
        <v>95</v>
      </c>
      <c r="C15" s="203">
        <f>INDEX('Annual Budget'!$C$2:$P$15,MATCH('Dashboard - Budget vs Actual'!B15,'Annual Budget'!$C$2:$C$15,0),MATCH('Dashboard - Budget vs Actual'!$C$4,'Annual Budget'!$B$2:$P$2,0))</f>
        <v>0</v>
      </c>
      <c r="D15" s="209">
        <f>SUMIFS(Actuals!H:H,Actuals!F:F,'Dashboard - Budget vs Actual'!B15,Actuals!D:D,'Dashboard - Budget vs Actual'!$C$4)</f>
        <v>0</v>
      </c>
      <c r="E15" s="216"/>
      <c r="F15" s="212">
        <f>C15-D15</f>
        <v>0</v>
      </c>
      <c r="G15" s="204" t="e">
        <f t="shared" si="0"/>
        <v>#DIV/0!</v>
      </c>
    </row>
    <row r="16" spans="2:7" x14ac:dyDescent="0.35">
      <c r="B16" s="202" t="s">
        <v>96</v>
      </c>
      <c r="C16" s="203">
        <f>INDEX('Annual Budget'!$C$2:$P$15,MATCH('Dashboard - Budget vs Actual'!B16,'Annual Budget'!$C$2:$C$15,0),MATCH('Dashboard - Budget vs Actual'!$C$4,'Annual Budget'!$B$2:$P$2,0))</f>
        <v>0</v>
      </c>
      <c r="D16" s="209">
        <f>SUMIFS(Actuals!H:H,Actuals!F:F,'Dashboard - Budget vs Actual'!B16,Actuals!D:D,'Dashboard - Budget vs Actual'!$C$4)</f>
        <v>0</v>
      </c>
      <c r="E16" s="216"/>
      <c r="F16" s="212">
        <f>D16-C16</f>
        <v>0</v>
      </c>
      <c r="G16" s="204" t="e">
        <f t="shared" si="0"/>
        <v>#DIV/0!</v>
      </c>
    </row>
    <row r="17" spans="2:7" ht="28.8" x14ac:dyDescent="0.35">
      <c r="B17" s="202" t="s">
        <v>97</v>
      </c>
      <c r="C17" s="203">
        <f>INDEX('Annual Budget'!$C$2:$P$15,MATCH('Dashboard - Budget vs Actual'!B17,'Annual Budget'!$C$2:$C$15,0),MATCH('Dashboard - Budget vs Actual'!$C$4,'Annual Budget'!$B$2:$P$2,0))</f>
        <v>0</v>
      </c>
      <c r="D17" s="209">
        <f>SUMIFS(Actuals!H:H,Actuals!F:F,'Dashboard - Budget vs Actual'!B17,Actuals!D:D,'Dashboard - Budget vs Actual'!$C$4)</f>
        <v>0</v>
      </c>
      <c r="E17" s="216"/>
      <c r="F17" s="212">
        <f>D17-C17</f>
        <v>0</v>
      </c>
      <c r="G17" s="204" t="e">
        <f t="shared" si="0"/>
        <v>#DIV/0!</v>
      </c>
    </row>
    <row r="18" spans="2:7" ht="22.8" customHeight="1" x14ac:dyDescent="0.35">
      <c r="B18" s="202" t="s">
        <v>98</v>
      </c>
      <c r="C18" s="203">
        <f>INDEX('Annual Budget'!$C$2:$P$15,MATCH('Dashboard - Budget vs Actual'!B18,'Annual Budget'!$C$2:$C$15,0),MATCH('Dashboard - Budget vs Actual'!$C$4,'Annual Budget'!$B$2:$P$2,0))</f>
        <v>0</v>
      </c>
      <c r="D18" s="209">
        <f>SUMIFS(Actuals!H:H,Actuals!F:F,'Dashboard - Budget vs Actual'!B18,Actuals!D:D,'Dashboard - Budget vs Actual'!$C$4)</f>
        <v>0</v>
      </c>
      <c r="E18" s="216"/>
      <c r="F18" s="212">
        <f>D18-C18</f>
        <v>0</v>
      </c>
      <c r="G18" s="204" t="e">
        <f t="shared" si="0"/>
        <v>#DIV/0!</v>
      </c>
    </row>
    <row r="19" spans="2:7" x14ac:dyDescent="0.35">
      <c r="B19" s="205" t="s">
        <v>99</v>
      </c>
      <c r="C19" s="206">
        <f>INDEX('Annual Budget'!$C$2:$P$15,MATCH('Dashboard - Budget vs Actual'!B19,'Annual Budget'!$C$2:$C$15,0),MATCH('Dashboard - Budget vs Actual'!$C$4,'Annual Budget'!$B$2:$P$2,0))</f>
        <v>0</v>
      </c>
      <c r="D19" s="210">
        <f>SUMIFS(Actuals!H:H,Actuals!F:F,'Dashboard - Budget vs Actual'!B19,Actuals!D:D,'Dashboard - Budget vs Actual'!$C$4)</f>
        <v>0</v>
      </c>
      <c r="E19" s="216"/>
      <c r="F19" s="213">
        <f>D19-C19</f>
        <v>0</v>
      </c>
      <c r="G19" s="207" t="e">
        <f t="shared" si="0"/>
        <v>#DIV/0!</v>
      </c>
    </row>
  </sheetData>
  <mergeCells count="1">
    <mergeCell ref="B2:C2"/>
  </mergeCells>
  <conditionalFormatting sqref="F8:G19">
    <cfRule type="cellIs" dxfId="28" priority="1" operator="lessThan">
      <formula>0</formula>
    </cfRule>
    <cfRule type="cellIs" dxfId="27" priority="2" operator="greaterThan">
      <formula>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9E4B24C-8290-4485-8BFB-40466A384992}">
          <x14:formula1>
            <xm:f>'Annual Budget'!$E$2:$P$2</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A9E34-20F6-497A-8397-45A80C3C26C4}">
  <dimension ref="B1:P354"/>
  <sheetViews>
    <sheetView tabSelected="1" zoomScale="90" zoomScaleNormal="90" workbookViewId="0">
      <selection activeCell="B2" sqref="B2"/>
    </sheetView>
  </sheetViews>
  <sheetFormatPr defaultColWidth="8.77734375" defaultRowHeight="14.4" x14ac:dyDescent="0.35"/>
  <cols>
    <col min="1" max="1" width="2.21875" style="166" customWidth="1"/>
    <col min="2" max="2" width="4.77734375" style="166" customWidth="1"/>
    <col min="3" max="3" width="21.88671875" style="166" customWidth="1"/>
    <col min="4" max="4" width="27" style="166" bestFit="1" customWidth="1"/>
    <col min="5" max="16" width="10.6640625" style="166" customWidth="1"/>
    <col min="17" max="16384" width="8.77734375" style="166"/>
  </cols>
  <sheetData>
    <row r="1" spans="2:16" ht="40.799999999999997" customHeight="1" x14ac:dyDescent="0.35">
      <c r="B1" s="273" t="s">
        <v>114</v>
      </c>
      <c r="C1" s="273"/>
      <c r="D1" s="273"/>
      <c r="E1" s="273"/>
      <c r="F1" s="273"/>
      <c r="G1" s="273"/>
      <c r="H1" s="273"/>
      <c r="I1" s="273"/>
      <c r="J1" s="273"/>
      <c r="K1" s="273"/>
      <c r="L1" s="273"/>
      <c r="M1" s="273"/>
      <c r="N1" s="273"/>
      <c r="O1" s="273"/>
      <c r="P1" s="273"/>
    </row>
    <row r="2" spans="2:16" ht="27" customHeight="1" x14ac:dyDescent="0.35">
      <c r="B2" s="175" t="s">
        <v>86</v>
      </c>
      <c r="C2" s="176" t="s">
        <v>100</v>
      </c>
      <c r="D2" s="176" t="s">
        <v>111</v>
      </c>
      <c r="E2" s="177" t="s">
        <v>74</v>
      </c>
      <c r="F2" s="177" t="s">
        <v>75</v>
      </c>
      <c r="G2" s="177" t="s">
        <v>76</v>
      </c>
      <c r="H2" s="177" t="s">
        <v>77</v>
      </c>
      <c r="I2" s="177" t="s">
        <v>9</v>
      </c>
      <c r="J2" s="177" t="s">
        <v>78</v>
      </c>
      <c r="K2" s="177" t="s">
        <v>79</v>
      </c>
      <c r="L2" s="177" t="s">
        <v>80</v>
      </c>
      <c r="M2" s="177" t="s">
        <v>81</v>
      </c>
      <c r="N2" s="177" t="s">
        <v>82</v>
      </c>
      <c r="O2" s="177" t="s">
        <v>83</v>
      </c>
      <c r="P2" s="177" t="s">
        <v>84</v>
      </c>
    </row>
    <row r="3" spans="2:16" ht="3.45" customHeight="1" x14ac:dyDescent="0.35">
      <c r="B3" s="186"/>
      <c r="C3" s="187"/>
      <c r="D3" s="187"/>
      <c r="E3" s="188"/>
      <c r="F3" s="188"/>
      <c r="G3" s="188"/>
      <c r="H3" s="188"/>
      <c r="I3" s="188"/>
      <c r="J3" s="188"/>
      <c r="K3" s="188"/>
      <c r="L3" s="188"/>
      <c r="M3" s="188"/>
      <c r="N3" s="188"/>
      <c r="O3" s="188"/>
      <c r="P3" s="188"/>
    </row>
    <row r="4" spans="2:16" ht="49.95" customHeight="1" x14ac:dyDescent="0.35">
      <c r="B4" s="170">
        <v>1</v>
      </c>
      <c r="C4" s="272" t="s">
        <v>18</v>
      </c>
      <c r="D4" s="270" t="s">
        <v>112</v>
      </c>
      <c r="E4" s="178">
        <v>1000</v>
      </c>
      <c r="F4" s="173">
        <v>1000</v>
      </c>
      <c r="G4" s="173">
        <v>1000</v>
      </c>
      <c r="H4" s="173">
        <v>1000</v>
      </c>
      <c r="I4" s="173">
        <v>1000</v>
      </c>
      <c r="J4" s="173">
        <v>1000</v>
      </c>
      <c r="K4" s="173">
        <v>1000</v>
      </c>
      <c r="L4" s="173">
        <v>1000</v>
      </c>
      <c r="M4" s="173">
        <v>1000</v>
      </c>
      <c r="N4" s="173">
        <v>1000</v>
      </c>
      <c r="O4" s="173">
        <v>1000</v>
      </c>
      <c r="P4" s="181">
        <v>1000</v>
      </c>
    </row>
    <row r="5" spans="2:16" ht="57.6" x14ac:dyDescent="0.35">
      <c r="B5" s="170">
        <v>2</v>
      </c>
      <c r="C5" s="271" t="s">
        <v>89</v>
      </c>
      <c r="D5" s="270" t="s">
        <v>113</v>
      </c>
      <c r="E5" s="217">
        <v>0.06</v>
      </c>
      <c r="F5" s="217">
        <v>0.06</v>
      </c>
      <c r="G5" s="217">
        <v>0.05</v>
      </c>
      <c r="H5" s="217">
        <v>0.05</v>
      </c>
      <c r="I5" s="217">
        <v>0.05</v>
      </c>
      <c r="J5" s="217">
        <v>0.04</v>
      </c>
      <c r="K5" s="217">
        <v>0.03</v>
      </c>
      <c r="L5" s="217">
        <v>0.03</v>
      </c>
      <c r="M5" s="217">
        <v>0.03</v>
      </c>
      <c r="N5" s="217">
        <v>0.02</v>
      </c>
      <c r="O5" s="217">
        <v>0.01</v>
      </c>
      <c r="P5" s="217">
        <v>0.01</v>
      </c>
    </row>
    <row r="6" spans="2:16" ht="49.95" customHeight="1" x14ac:dyDescent="0.35">
      <c r="B6" s="170">
        <v>3</v>
      </c>
      <c r="C6" s="271" t="s">
        <v>90</v>
      </c>
      <c r="D6" s="270"/>
      <c r="E6" s="179"/>
      <c r="F6" s="172"/>
      <c r="G6" s="172"/>
      <c r="H6" s="172"/>
      <c r="I6" s="172"/>
      <c r="J6" s="172"/>
      <c r="K6" s="172"/>
      <c r="L6" s="172"/>
      <c r="M6" s="172"/>
      <c r="N6" s="172"/>
      <c r="O6" s="172"/>
      <c r="P6" s="182"/>
    </row>
    <row r="7" spans="2:16" ht="49.95" customHeight="1" x14ac:dyDescent="0.35">
      <c r="B7" s="170">
        <v>4</v>
      </c>
      <c r="C7" s="271" t="s">
        <v>91</v>
      </c>
      <c r="D7" s="270"/>
      <c r="E7" s="179"/>
      <c r="F7" s="172"/>
      <c r="G7" s="172"/>
      <c r="H7" s="172"/>
      <c r="I7" s="172"/>
      <c r="J7" s="172"/>
      <c r="K7" s="172"/>
      <c r="L7" s="172"/>
      <c r="M7" s="172"/>
      <c r="N7" s="172"/>
      <c r="O7" s="172"/>
      <c r="P7" s="182"/>
    </row>
    <row r="8" spans="2:16" ht="49.95" customHeight="1" x14ac:dyDescent="0.35">
      <c r="B8" s="170">
        <v>5</v>
      </c>
      <c r="C8" s="271" t="s">
        <v>92</v>
      </c>
      <c r="D8" s="270"/>
      <c r="E8" s="179"/>
      <c r="F8" s="172"/>
      <c r="G8" s="172"/>
      <c r="H8" s="172"/>
      <c r="I8" s="172"/>
      <c r="J8" s="172"/>
      <c r="K8" s="172"/>
      <c r="L8" s="172"/>
      <c r="M8" s="172"/>
      <c r="N8" s="172"/>
      <c r="O8" s="172"/>
      <c r="P8" s="182"/>
    </row>
    <row r="9" spans="2:16" ht="49.95" customHeight="1" x14ac:dyDescent="0.35">
      <c r="B9" s="170">
        <v>6</v>
      </c>
      <c r="C9" s="271" t="s">
        <v>93</v>
      </c>
      <c r="D9" s="270"/>
      <c r="E9" s="179"/>
      <c r="F9" s="172"/>
      <c r="G9" s="172"/>
      <c r="H9" s="172"/>
      <c r="I9" s="172"/>
      <c r="J9" s="172"/>
      <c r="K9" s="172"/>
      <c r="L9" s="172"/>
      <c r="M9" s="172"/>
      <c r="N9" s="172"/>
      <c r="O9" s="172"/>
      <c r="P9" s="182"/>
    </row>
    <row r="10" spans="2:16" ht="49.95" customHeight="1" x14ac:dyDescent="0.35">
      <c r="B10" s="170">
        <v>7</v>
      </c>
      <c r="C10" s="271" t="s">
        <v>94</v>
      </c>
      <c r="D10" s="270"/>
      <c r="E10" s="179"/>
      <c r="F10" s="172"/>
      <c r="G10" s="172"/>
      <c r="H10" s="172"/>
      <c r="I10" s="172"/>
      <c r="J10" s="172"/>
      <c r="K10" s="172"/>
      <c r="L10" s="172"/>
      <c r="M10" s="172"/>
      <c r="N10" s="172"/>
      <c r="O10" s="172"/>
      <c r="P10" s="182"/>
    </row>
    <row r="11" spans="2:16" ht="49.95" customHeight="1" x14ac:dyDescent="0.35">
      <c r="B11" s="170">
        <v>8</v>
      </c>
      <c r="C11" s="271" t="s">
        <v>95</v>
      </c>
      <c r="D11" s="270"/>
      <c r="E11" s="179"/>
      <c r="F11" s="172"/>
      <c r="G11" s="172"/>
      <c r="H11" s="172"/>
      <c r="I11" s="172"/>
      <c r="J11" s="172" t="s">
        <v>30</v>
      </c>
      <c r="K11" s="172"/>
      <c r="L11" s="172"/>
      <c r="M11" s="172"/>
      <c r="N11" s="172"/>
      <c r="O11" s="172"/>
      <c r="P11" s="182"/>
    </row>
    <row r="12" spans="2:16" ht="49.95" customHeight="1" x14ac:dyDescent="0.35">
      <c r="B12" s="170">
        <v>9</v>
      </c>
      <c r="C12" s="271" t="s">
        <v>96</v>
      </c>
      <c r="D12" s="270"/>
      <c r="E12" s="179"/>
      <c r="F12" s="172"/>
      <c r="G12" s="172"/>
      <c r="H12" s="172"/>
      <c r="I12" s="172"/>
      <c r="J12" s="172"/>
      <c r="K12" s="172"/>
      <c r="L12" s="172"/>
      <c r="M12" s="172"/>
      <c r="N12" s="172"/>
      <c r="O12" s="172"/>
      <c r="P12" s="182"/>
    </row>
    <row r="13" spans="2:16" ht="49.95" customHeight="1" x14ac:dyDescent="0.35">
      <c r="B13" s="170">
        <v>10</v>
      </c>
      <c r="C13" s="271" t="s">
        <v>97</v>
      </c>
      <c r="D13" s="270"/>
      <c r="E13" s="179"/>
      <c r="F13" s="172"/>
      <c r="G13" s="172"/>
      <c r="H13" s="172"/>
      <c r="I13" s="172"/>
      <c r="J13" s="172"/>
      <c r="K13" s="172"/>
      <c r="L13" s="172"/>
      <c r="M13" s="172"/>
      <c r="N13" s="172"/>
      <c r="O13" s="172"/>
      <c r="P13" s="182"/>
    </row>
    <row r="14" spans="2:16" ht="49.95" customHeight="1" x14ac:dyDescent="0.35">
      <c r="B14" s="170">
        <v>11</v>
      </c>
      <c r="C14" s="271" t="s">
        <v>98</v>
      </c>
      <c r="D14" s="270"/>
      <c r="E14" s="179"/>
      <c r="F14" s="172"/>
      <c r="G14" s="172"/>
      <c r="H14" s="172"/>
      <c r="I14" s="172"/>
      <c r="J14" s="172"/>
      <c r="K14" s="172"/>
      <c r="L14" s="172"/>
      <c r="M14" s="172"/>
      <c r="N14" s="172"/>
      <c r="O14" s="172"/>
      <c r="P14" s="182"/>
    </row>
    <row r="15" spans="2:16" ht="49.95" customHeight="1" x14ac:dyDescent="0.35">
      <c r="B15" s="170">
        <v>12</v>
      </c>
      <c r="C15" s="271" t="s">
        <v>99</v>
      </c>
      <c r="D15" s="270"/>
      <c r="E15" s="180"/>
      <c r="F15" s="174"/>
      <c r="G15" s="174"/>
      <c r="H15" s="174"/>
      <c r="I15" s="174"/>
      <c r="J15" s="174"/>
      <c r="K15" s="174"/>
      <c r="L15" s="174"/>
      <c r="M15" s="174"/>
      <c r="N15" s="174"/>
      <c r="O15" s="174"/>
      <c r="P15" s="183"/>
    </row>
    <row r="16" spans="2:16" x14ac:dyDescent="0.35">
      <c r="C16" s="169"/>
      <c r="D16" s="169"/>
      <c r="E16" s="171"/>
    </row>
    <row r="17" spans="3:5" x14ac:dyDescent="0.35">
      <c r="C17" s="169"/>
      <c r="D17" s="169"/>
      <c r="E17" s="171"/>
    </row>
    <row r="18" spans="3:5" x14ac:dyDescent="0.35">
      <c r="C18" s="169"/>
      <c r="D18" s="169"/>
      <c r="E18" s="171"/>
    </row>
    <row r="19" spans="3:5" x14ac:dyDescent="0.35">
      <c r="C19" s="169"/>
      <c r="D19" s="169"/>
      <c r="E19" s="171"/>
    </row>
    <row r="20" spans="3:5" x14ac:dyDescent="0.35">
      <c r="C20" s="169"/>
      <c r="D20" s="169"/>
      <c r="E20" s="171"/>
    </row>
    <row r="21" spans="3:5" x14ac:dyDescent="0.35">
      <c r="C21" s="169"/>
      <c r="D21" s="169"/>
      <c r="E21" s="171"/>
    </row>
    <row r="22" spans="3:5" x14ac:dyDescent="0.35">
      <c r="C22" s="169"/>
      <c r="D22" s="169"/>
      <c r="E22" s="171"/>
    </row>
    <row r="23" spans="3:5" x14ac:dyDescent="0.35">
      <c r="C23" s="169"/>
      <c r="D23" s="169"/>
      <c r="E23" s="171"/>
    </row>
    <row r="24" spans="3:5" x14ac:dyDescent="0.35">
      <c r="C24" s="169"/>
      <c r="D24" s="169"/>
      <c r="E24" s="171"/>
    </row>
    <row r="25" spans="3:5" x14ac:dyDescent="0.35">
      <c r="C25" s="169"/>
      <c r="D25" s="169"/>
      <c r="E25" s="171"/>
    </row>
    <row r="26" spans="3:5" x14ac:dyDescent="0.35">
      <c r="C26" s="169"/>
      <c r="D26" s="169"/>
      <c r="E26" s="171"/>
    </row>
    <row r="27" spans="3:5" x14ac:dyDescent="0.35">
      <c r="C27" s="169"/>
      <c r="D27" s="169"/>
      <c r="E27" s="171"/>
    </row>
    <row r="28" spans="3:5" x14ac:dyDescent="0.35">
      <c r="C28" s="169"/>
      <c r="D28" s="169"/>
      <c r="E28" s="171"/>
    </row>
    <row r="29" spans="3:5" x14ac:dyDescent="0.35">
      <c r="C29" s="169"/>
      <c r="D29" s="169"/>
      <c r="E29" s="171"/>
    </row>
    <row r="30" spans="3:5" x14ac:dyDescent="0.35">
      <c r="C30" s="169"/>
      <c r="D30" s="169"/>
      <c r="E30" s="171"/>
    </row>
    <row r="31" spans="3:5" x14ac:dyDescent="0.35">
      <c r="C31" s="169"/>
      <c r="D31" s="169"/>
      <c r="E31" s="171"/>
    </row>
    <row r="32" spans="3:5" x14ac:dyDescent="0.35">
      <c r="C32" s="169"/>
      <c r="D32" s="169"/>
      <c r="E32" s="171"/>
    </row>
    <row r="33" spans="3:5" x14ac:dyDescent="0.35">
      <c r="C33" s="169"/>
      <c r="D33" s="169"/>
      <c r="E33" s="170"/>
    </row>
    <row r="34" spans="3:5" x14ac:dyDescent="0.35">
      <c r="C34" s="169"/>
      <c r="D34" s="169"/>
      <c r="E34" s="170"/>
    </row>
    <row r="35" spans="3:5" x14ac:dyDescent="0.35">
      <c r="C35" s="169"/>
      <c r="D35" s="169"/>
      <c r="E35" s="170"/>
    </row>
    <row r="36" spans="3:5" x14ac:dyDescent="0.35">
      <c r="C36" s="169"/>
      <c r="D36" s="169"/>
      <c r="E36" s="170"/>
    </row>
    <row r="37" spans="3:5" x14ac:dyDescent="0.35">
      <c r="C37" s="169"/>
      <c r="D37" s="169"/>
      <c r="E37" s="170"/>
    </row>
    <row r="38" spans="3:5" x14ac:dyDescent="0.35">
      <c r="C38" s="169"/>
      <c r="D38" s="169"/>
      <c r="E38" s="170"/>
    </row>
    <row r="39" spans="3:5" x14ac:dyDescent="0.35">
      <c r="C39" s="169"/>
      <c r="D39" s="169"/>
      <c r="E39" s="170"/>
    </row>
    <row r="40" spans="3:5" x14ac:dyDescent="0.35">
      <c r="C40" s="169"/>
      <c r="D40" s="169"/>
      <c r="E40" s="170"/>
    </row>
    <row r="41" spans="3:5" x14ac:dyDescent="0.35">
      <c r="C41" s="169"/>
      <c r="D41" s="169"/>
      <c r="E41" s="170"/>
    </row>
    <row r="42" spans="3:5" x14ac:dyDescent="0.35">
      <c r="C42" s="169"/>
      <c r="D42" s="169"/>
      <c r="E42" s="170"/>
    </row>
    <row r="43" spans="3:5" x14ac:dyDescent="0.35">
      <c r="C43" s="169"/>
      <c r="D43" s="169"/>
      <c r="E43" s="171"/>
    </row>
    <row r="44" spans="3:5" x14ac:dyDescent="0.35">
      <c r="C44" s="169"/>
      <c r="D44" s="169"/>
    </row>
    <row r="45" spans="3:5" x14ac:dyDescent="0.35">
      <c r="C45" s="169"/>
      <c r="D45" s="169"/>
    </row>
    <row r="46" spans="3:5" x14ac:dyDescent="0.35">
      <c r="C46" s="169"/>
      <c r="D46" s="169"/>
    </row>
    <row r="47" spans="3:5" x14ac:dyDescent="0.35">
      <c r="C47" s="169"/>
      <c r="D47" s="169"/>
    </row>
    <row r="48" spans="3:5" x14ac:dyDescent="0.35">
      <c r="C48" s="169"/>
      <c r="D48" s="169"/>
    </row>
    <row r="49" spans="3:4" x14ac:dyDescent="0.35">
      <c r="C49" s="169"/>
      <c r="D49" s="169"/>
    </row>
    <row r="50" spans="3:4" x14ac:dyDescent="0.35">
      <c r="C50" s="169"/>
      <c r="D50" s="169"/>
    </row>
    <row r="51" spans="3:4" x14ac:dyDescent="0.35">
      <c r="C51" s="169"/>
      <c r="D51" s="169"/>
    </row>
    <row r="52" spans="3:4" x14ac:dyDescent="0.35">
      <c r="C52" s="169"/>
      <c r="D52" s="169"/>
    </row>
    <row r="53" spans="3:4" x14ac:dyDescent="0.35">
      <c r="C53" s="169"/>
      <c r="D53" s="169"/>
    </row>
    <row r="54" spans="3:4" x14ac:dyDescent="0.35">
      <c r="C54" s="169"/>
      <c r="D54" s="169"/>
    </row>
    <row r="55" spans="3:4" x14ac:dyDescent="0.35">
      <c r="C55" s="169"/>
      <c r="D55" s="169"/>
    </row>
    <row r="56" spans="3:4" x14ac:dyDescent="0.35">
      <c r="C56" s="169"/>
      <c r="D56" s="169"/>
    </row>
    <row r="57" spans="3:4" x14ac:dyDescent="0.35">
      <c r="C57" s="169"/>
      <c r="D57" s="169"/>
    </row>
    <row r="58" spans="3:4" x14ac:dyDescent="0.35">
      <c r="C58" s="169"/>
      <c r="D58" s="169"/>
    </row>
    <row r="59" spans="3:4" x14ac:dyDescent="0.35">
      <c r="C59" s="169"/>
      <c r="D59" s="169"/>
    </row>
    <row r="60" spans="3:4" x14ac:dyDescent="0.35">
      <c r="C60" s="169"/>
      <c r="D60" s="169"/>
    </row>
    <row r="61" spans="3:4" x14ac:dyDescent="0.35">
      <c r="C61" s="169"/>
      <c r="D61" s="169"/>
    </row>
    <row r="62" spans="3:4" x14ac:dyDescent="0.35">
      <c r="C62" s="169"/>
      <c r="D62" s="169"/>
    </row>
    <row r="63" spans="3:4" x14ac:dyDescent="0.35">
      <c r="C63" s="169"/>
      <c r="D63" s="169"/>
    </row>
    <row r="64" spans="3:4" x14ac:dyDescent="0.35">
      <c r="C64" s="169"/>
      <c r="D64" s="169"/>
    </row>
    <row r="65" spans="3:4" x14ac:dyDescent="0.35">
      <c r="C65" s="169"/>
      <c r="D65" s="169"/>
    </row>
    <row r="66" spans="3:4" x14ac:dyDescent="0.35">
      <c r="C66" s="169"/>
      <c r="D66" s="169"/>
    </row>
    <row r="67" spans="3:4" x14ac:dyDescent="0.35">
      <c r="C67" s="169"/>
      <c r="D67" s="169"/>
    </row>
    <row r="68" spans="3:4" x14ac:dyDescent="0.35">
      <c r="C68" s="169"/>
      <c r="D68" s="169"/>
    </row>
    <row r="69" spans="3:4" x14ac:dyDescent="0.35">
      <c r="C69" s="169"/>
      <c r="D69" s="169"/>
    </row>
    <row r="70" spans="3:4" x14ac:dyDescent="0.35">
      <c r="C70" s="169"/>
      <c r="D70" s="169"/>
    </row>
    <row r="71" spans="3:4" x14ac:dyDescent="0.35">
      <c r="C71" s="169"/>
      <c r="D71" s="169"/>
    </row>
    <row r="72" spans="3:4" x14ac:dyDescent="0.35">
      <c r="C72" s="169"/>
      <c r="D72" s="169"/>
    </row>
    <row r="73" spans="3:4" x14ac:dyDescent="0.35">
      <c r="C73" s="169"/>
      <c r="D73" s="169"/>
    </row>
    <row r="74" spans="3:4" x14ac:dyDescent="0.35">
      <c r="C74" s="169"/>
      <c r="D74" s="169"/>
    </row>
    <row r="75" spans="3:4" x14ac:dyDescent="0.35">
      <c r="C75" s="169"/>
      <c r="D75" s="169"/>
    </row>
    <row r="76" spans="3:4" x14ac:dyDescent="0.35">
      <c r="C76" s="169"/>
      <c r="D76" s="169"/>
    </row>
    <row r="77" spans="3:4" x14ac:dyDescent="0.35">
      <c r="C77" s="169"/>
      <c r="D77" s="169"/>
    </row>
    <row r="78" spans="3:4" x14ac:dyDescent="0.35">
      <c r="C78" s="169"/>
      <c r="D78" s="169"/>
    </row>
    <row r="79" spans="3:4" x14ac:dyDescent="0.35">
      <c r="C79" s="169"/>
      <c r="D79" s="169"/>
    </row>
    <row r="80" spans="3:4" x14ac:dyDescent="0.35">
      <c r="C80" s="169"/>
      <c r="D80" s="169"/>
    </row>
    <row r="81" spans="3:4" x14ac:dyDescent="0.35">
      <c r="C81" s="169"/>
      <c r="D81" s="169"/>
    </row>
    <row r="82" spans="3:4" x14ac:dyDescent="0.35">
      <c r="C82" s="169"/>
      <c r="D82" s="169"/>
    </row>
    <row r="83" spans="3:4" x14ac:dyDescent="0.35">
      <c r="C83" s="169"/>
      <c r="D83" s="169"/>
    </row>
    <row r="84" spans="3:4" x14ac:dyDescent="0.35">
      <c r="C84" s="169"/>
      <c r="D84" s="169"/>
    </row>
    <row r="85" spans="3:4" x14ac:dyDescent="0.35">
      <c r="C85" s="169"/>
      <c r="D85" s="169"/>
    </row>
    <row r="86" spans="3:4" x14ac:dyDescent="0.35">
      <c r="C86" s="169"/>
      <c r="D86" s="169"/>
    </row>
    <row r="87" spans="3:4" x14ac:dyDescent="0.35">
      <c r="C87" s="169"/>
      <c r="D87" s="169"/>
    </row>
    <row r="88" spans="3:4" x14ac:dyDescent="0.35">
      <c r="C88" s="169"/>
      <c r="D88" s="169"/>
    </row>
    <row r="89" spans="3:4" x14ac:dyDescent="0.35">
      <c r="C89" s="169"/>
      <c r="D89" s="169"/>
    </row>
    <row r="90" spans="3:4" x14ac:dyDescent="0.35">
      <c r="C90" s="169"/>
      <c r="D90" s="169"/>
    </row>
    <row r="91" spans="3:4" x14ac:dyDescent="0.35">
      <c r="C91" s="169"/>
      <c r="D91" s="169"/>
    </row>
    <row r="92" spans="3:4" x14ac:dyDescent="0.35">
      <c r="C92" s="169"/>
      <c r="D92" s="169"/>
    </row>
    <row r="93" spans="3:4" x14ac:dyDescent="0.35">
      <c r="C93" s="169"/>
      <c r="D93" s="169"/>
    </row>
    <row r="94" spans="3:4" x14ac:dyDescent="0.35">
      <c r="C94" s="169"/>
      <c r="D94" s="169"/>
    </row>
    <row r="95" spans="3:4" x14ac:dyDescent="0.35">
      <c r="C95" s="169"/>
      <c r="D95" s="169"/>
    </row>
    <row r="96" spans="3:4" x14ac:dyDescent="0.35">
      <c r="C96" s="169"/>
      <c r="D96" s="169"/>
    </row>
    <row r="97" spans="3:4" x14ac:dyDescent="0.35">
      <c r="C97" s="169"/>
      <c r="D97" s="169"/>
    </row>
    <row r="98" spans="3:4" x14ac:dyDescent="0.35">
      <c r="C98" s="169"/>
      <c r="D98" s="169"/>
    </row>
    <row r="99" spans="3:4" x14ac:dyDescent="0.35">
      <c r="C99" s="169"/>
      <c r="D99" s="169"/>
    </row>
    <row r="100" spans="3:4" x14ac:dyDescent="0.35">
      <c r="C100" s="169"/>
      <c r="D100" s="169"/>
    </row>
    <row r="101" spans="3:4" x14ac:dyDescent="0.35">
      <c r="C101" s="169"/>
      <c r="D101" s="169"/>
    </row>
    <row r="102" spans="3:4" x14ac:dyDescent="0.35">
      <c r="C102" s="169"/>
      <c r="D102" s="169"/>
    </row>
    <row r="103" spans="3:4" x14ac:dyDescent="0.35">
      <c r="C103" s="169"/>
      <c r="D103" s="169"/>
    </row>
    <row r="104" spans="3:4" x14ac:dyDescent="0.35">
      <c r="C104" s="169"/>
      <c r="D104" s="169"/>
    </row>
    <row r="105" spans="3:4" x14ac:dyDescent="0.35">
      <c r="C105" s="169"/>
      <c r="D105" s="169"/>
    </row>
    <row r="106" spans="3:4" x14ac:dyDescent="0.35">
      <c r="C106" s="169"/>
      <c r="D106" s="169"/>
    </row>
    <row r="107" spans="3:4" x14ac:dyDescent="0.35">
      <c r="C107" s="169"/>
      <c r="D107" s="169"/>
    </row>
    <row r="108" spans="3:4" x14ac:dyDescent="0.35">
      <c r="C108" s="169"/>
      <c r="D108" s="169"/>
    </row>
    <row r="109" spans="3:4" x14ac:dyDescent="0.35">
      <c r="C109" s="169"/>
      <c r="D109" s="169"/>
    </row>
    <row r="110" spans="3:4" x14ac:dyDescent="0.35">
      <c r="C110" s="169"/>
      <c r="D110" s="169"/>
    </row>
    <row r="111" spans="3:4" x14ac:dyDescent="0.35">
      <c r="C111" s="169"/>
      <c r="D111" s="169"/>
    </row>
    <row r="112" spans="3:4" x14ac:dyDescent="0.35">
      <c r="C112" s="169"/>
      <c r="D112" s="169"/>
    </row>
    <row r="113" spans="3:4" x14ac:dyDescent="0.35">
      <c r="C113" s="169"/>
      <c r="D113" s="169"/>
    </row>
    <row r="114" spans="3:4" x14ac:dyDescent="0.35">
      <c r="C114" s="169"/>
      <c r="D114" s="169"/>
    </row>
    <row r="115" spans="3:4" x14ac:dyDescent="0.35">
      <c r="C115" s="169"/>
      <c r="D115" s="169"/>
    </row>
    <row r="116" spans="3:4" x14ac:dyDescent="0.35">
      <c r="C116" s="169"/>
      <c r="D116" s="169"/>
    </row>
    <row r="117" spans="3:4" x14ac:dyDescent="0.35">
      <c r="C117" s="169"/>
      <c r="D117" s="169"/>
    </row>
    <row r="118" spans="3:4" x14ac:dyDescent="0.35">
      <c r="C118" s="169"/>
      <c r="D118" s="169"/>
    </row>
    <row r="119" spans="3:4" x14ac:dyDescent="0.35">
      <c r="C119" s="169"/>
      <c r="D119" s="169"/>
    </row>
    <row r="120" spans="3:4" x14ac:dyDescent="0.35">
      <c r="C120" s="169"/>
      <c r="D120" s="169"/>
    </row>
    <row r="121" spans="3:4" x14ac:dyDescent="0.35">
      <c r="C121" s="169"/>
      <c r="D121" s="169"/>
    </row>
    <row r="122" spans="3:4" x14ac:dyDescent="0.35">
      <c r="C122" s="169"/>
      <c r="D122" s="169"/>
    </row>
    <row r="123" spans="3:4" x14ac:dyDescent="0.35">
      <c r="C123" s="169"/>
      <c r="D123" s="169"/>
    </row>
    <row r="124" spans="3:4" x14ac:dyDescent="0.35">
      <c r="C124" s="169"/>
      <c r="D124" s="169"/>
    </row>
    <row r="125" spans="3:4" x14ac:dyDescent="0.35">
      <c r="C125" s="169"/>
      <c r="D125" s="169"/>
    </row>
    <row r="126" spans="3:4" x14ac:dyDescent="0.35">
      <c r="C126" s="169"/>
      <c r="D126" s="169"/>
    </row>
    <row r="127" spans="3:4" x14ac:dyDescent="0.35">
      <c r="C127" s="169"/>
      <c r="D127" s="169"/>
    </row>
    <row r="128" spans="3:4" x14ac:dyDescent="0.35">
      <c r="C128" s="169"/>
      <c r="D128" s="169"/>
    </row>
    <row r="129" spans="3:4" x14ac:dyDescent="0.35">
      <c r="C129" s="169"/>
      <c r="D129" s="169"/>
    </row>
    <row r="130" spans="3:4" x14ac:dyDescent="0.35">
      <c r="C130" s="169"/>
      <c r="D130" s="169"/>
    </row>
    <row r="131" spans="3:4" x14ac:dyDescent="0.35">
      <c r="C131" s="169"/>
      <c r="D131" s="169"/>
    </row>
    <row r="132" spans="3:4" x14ac:dyDescent="0.35">
      <c r="C132" s="169"/>
      <c r="D132" s="169"/>
    </row>
    <row r="133" spans="3:4" x14ac:dyDescent="0.35">
      <c r="C133" s="169"/>
      <c r="D133" s="169"/>
    </row>
    <row r="134" spans="3:4" x14ac:dyDescent="0.35">
      <c r="C134" s="169"/>
      <c r="D134" s="169"/>
    </row>
    <row r="135" spans="3:4" x14ac:dyDescent="0.35">
      <c r="C135" s="169"/>
      <c r="D135" s="169"/>
    </row>
    <row r="136" spans="3:4" x14ac:dyDescent="0.35">
      <c r="C136" s="169"/>
      <c r="D136" s="169"/>
    </row>
    <row r="137" spans="3:4" x14ac:dyDescent="0.35">
      <c r="C137" s="169"/>
      <c r="D137" s="169"/>
    </row>
    <row r="138" spans="3:4" x14ac:dyDescent="0.35">
      <c r="C138" s="169"/>
      <c r="D138" s="169"/>
    </row>
    <row r="139" spans="3:4" x14ac:dyDescent="0.35">
      <c r="C139" s="169"/>
      <c r="D139" s="169"/>
    </row>
    <row r="140" spans="3:4" x14ac:dyDescent="0.35">
      <c r="C140" s="169"/>
      <c r="D140" s="169"/>
    </row>
    <row r="141" spans="3:4" x14ac:dyDescent="0.35">
      <c r="C141" s="169"/>
      <c r="D141" s="169"/>
    </row>
    <row r="142" spans="3:4" x14ac:dyDescent="0.35">
      <c r="C142" s="169"/>
      <c r="D142" s="169"/>
    </row>
    <row r="143" spans="3:4" x14ac:dyDescent="0.35">
      <c r="C143" s="169"/>
      <c r="D143" s="169"/>
    </row>
    <row r="144" spans="3:4" x14ac:dyDescent="0.35">
      <c r="C144" s="169"/>
      <c r="D144" s="169"/>
    </row>
    <row r="145" spans="3:4" x14ac:dyDescent="0.35">
      <c r="C145" s="169"/>
      <c r="D145" s="169"/>
    </row>
    <row r="146" spans="3:4" x14ac:dyDescent="0.35">
      <c r="C146" s="169"/>
      <c r="D146" s="169"/>
    </row>
    <row r="147" spans="3:4" x14ac:dyDescent="0.35">
      <c r="C147" s="169"/>
      <c r="D147" s="169"/>
    </row>
    <row r="148" spans="3:4" x14ac:dyDescent="0.35">
      <c r="C148" s="169"/>
      <c r="D148" s="169"/>
    </row>
    <row r="149" spans="3:4" x14ac:dyDescent="0.35">
      <c r="C149" s="169"/>
      <c r="D149" s="169"/>
    </row>
    <row r="150" spans="3:4" x14ac:dyDescent="0.35">
      <c r="C150" s="169"/>
      <c r="D150" s="169"/>
    </row>
    <row r="151" spans="3:4" x14ac:dyDescent="0.35">
      <c r="C151" s="169"/>
      <c r="D151" s="169"/>
    </row>
    <row r="152" spans="3:4" x14ac:dyDescent="0.35">
      <c r="C152" s="169"/>
      <c r="D152" s="169"/>
    </row>
    <row r="153" spans="3:4" x14ac:dyDescent="0.35">
      <c r="C153" s="169"/>
      <c r="D153" s="169"/>
    </row>
    <row r="154" spans="3:4" x14ac:dyDescent="0.35">
      <c r="C154" s="169"/>
      <c r="D154" s="169"/>
    </row>
    <row r="155" spans="3:4" x14ac:dyDescent="0.35">
      <c r="C155" s="169"/>
      <c r="D155" s="169"/>
    </row>
    <row r="156" spans="3:4" x14ac:dyDescent="0.35">
      <c r="C156" s="169"/>
      <c r="D156" s="169"/>
    </row>
    <row r="157" spans="3:4" x14ac:dyDescent="0.35">
      <c r="C157" s="169"/>
      <c r="D157" s="169"/>
    </row>
    <row r="158" spans="3:4" x14ac:dyDescent="0.35">
      <c r="C158" s="169"/>
      <c r="D158" s="169"/>
    </row>
    <row r="159" spans="3:4" x14ac:dyDescent="0.35">
      <c r="C159" s="169"/>
      <c r="D159" s="169"/>
    </row>
    <row r="160" spans="3:4" x14ac:dyDescent="0.35">
      <c r="C160" s="169"/>
      <c r="D160" s="169"/>
    </row>
    <row r="161" spans="3:4" x14ac:dyDescent="0.35">
      <c r="C161" s="169"/>
      <c r="D161" s="169"/>
    </row>
    <row r="162" spans="3:4" x14ac:dyDescent="0.35">
      <c r="C162" s="169"/>
      <c r="D162" s="169"/>
    </row>
    <row r="163" spans="3:4" x14ac:dyDescent="0.35">
      <c r="C163" s="169"/>
      <c r="D163" s="169"/>
    </row>
    <row r="164" spans="3:4" x14ac:dyDescent="0.35">
      <c r="C164" s="169"/>
      <c r="D164" s="169"/>
    </row>
    <row r="165" spans="3:4" x14ac:dyDescent="0.35">
      <c r="C165" s="169"/>
      <c r="D165" s="169"/>
    </row>
    <row r="166" spans="3:4" x14ac:dyDescent="0.35">
      <c r="C166" s="169"/>
      <c r="D166" s="169"/>
    </row>
    <row r="167" spans="3:4" x14ac:dyDescent="0.35">
      <c r="C167" s="169"/>
      <c r="D167" s="169"/>
    </row>
    <row r="168" spans="3:4" x14ac:dyDescent="0.35">
      <c r="C168" s="169"/>
      <c r="D168" s="169"/>
    </row>
    <row r="169" spans="3:4" x14ac:dyDescent="0.35">
      <c r="C169" s="169"/>
      <c r="D169" s="169"/>
    </row>
    <row r="170" spans="3:4" x14ac:dyDescent="0.35">
      <c r="C170" s="169"/>
      <c r="D170" s="169"/>
    </row>
    <row r="171" spans="3:4" x14ac:dyDescent="0.35">
      <c r="C171" s="169"/>
      <c r="D171" s="169"/>
    </row>
    <row r="172" spans="3:4" x14ac:dyDescent="0.35">
      <c r="C172" s="169"/>
      <c r="D172" s="169"/>
    </row>
    <row r="173" spans="3:4" x14ac:dyDescent="0.35">
      <c r="C173" s="169"/>
      <c r="D173" s="169"/>
    </row>
    <row r="174" spans="3:4" x14ac:dyDescent="0.35">
      <c r="C174" s="169"/>
      <c r="D174" s="169"/>
    </row>
    <row r="175" spans="3:4" x14ac:dyDescent="0.35">
      <c r="C175" s="169"/>
      <c r="D175" s="169"/>
    </row>
    <row r="176" spans="3:4" x14ac:dyDescent="0.35">
      <c r="C176" s="169"/>
      <c r="D176" s="169"/>
    </row>
    <row r="177" spans="3:4" x14ac:dyDescent="0.35">
      <c r="C177" s="169"/>
      <c r="D177" s="169"/>
    </row>
    <row r="178" spans="3:4" x14ac:dyDescent="0.35">
      <c r="C178" s="169"/>
      <c r="D178" s="169"/>
    </row>
    <row r="179" spans="3:4" x14ac:dyDescent="0.35">
      <c r="C179" s="169"/>
      <c r="D179" s="169"/>
    </row>
    <row r="180" spans="3:4" x14ac:dyDescent="0.35">
      <c r="C180" s="169"/>
      <c r="D180" s="169"/>
    </row>
    <row r="181" spans="3:4" x14ac:dyDescent="0.35">
      <c r="C181" s="169"/>
      <c r="D181" s="169"/>
    </row>
    <row r="182" spans="3:4" x14ac:dyDescent="0.35">
      <c r="C182" s="169"/>
      <c r="D182" s="169"/>
    </row>
    <row r="183" spans="3:4" x14ac:dyDescent="0.35">
      <c r="C183" s="169"/>
      <c r="D183" s="169"/>
    </row>
    <row r="184" spans="3:4" x14ac:dyDescent="0.35">
      <c r="C184" s="169"/>
      <c r="D184" s="169"/>
    </row>
    <row r="185" spans="3:4" x14ac:dyDescent="0.35">
      <c r="C185" s="169"/>
      <c r="D185" s="169"/>
    </row>
    <row r="186" spans="3:4" x14ac:dyDescent="0.35">
      <c r="C186" s="169"/>
      <c r="D186" s="169"/>
    </row>
    <row r="187" spans="3:4" x14ac:dyDescent="0.35">
      <c r="C187" s="169"/>
      <c r="D187" s="169"/>
    </row>
    <row r="188" spans="3:4" x14ac:dyDescent="0.35">
      <c r="C188" s="169"/>
      <c r="D188" s="169"/>
    </row>
    <row r="189" spans="3:4" x14ac:dyDescent="0.35">
      <c r="C189" s="169"/>
      <c r="D189" s="169"/>
    </row>
    <row r="190" spans="3:4" x14ac:dyDescent="0.35">
      <c r="C190" s="169"/>
      <c r="D190" s="169"/>
    </row>
    <row r="191" spans="3:4" x14ac:dyDescent="0.35">
      <c r="C191" s="169"/>
      <c r="D191" s="169"/>
    </row>
    <row r="192" spans="3:4" x14ac:dyDescent="0.35">
      <c r="C192" s="169"/>
      <c r="D192" s="169"/>
    </row>
    <row r="193" spans="3:4" x14ac:dyDescent="0.35">
      <c r="C193" s="169"/>
      <c r="D193" s="169"/>
    </row>
    <row r="194" spans="3:4" x14ac:dyDescent="0.35">
      <c r="C194" s="169"/>
      <c r="D194" s="169"/>
    </row>
    <row r="195" spans="3:4" x14ac:dyDescent="0.35">
      <c r="C195" s="169"/>
      <c r="D195" s="169"/>
    </row>
    <row r="196" spans="3:4" x14ac:dyDescent="0.35">
      <c r="C196" s="169"/>
      <c r="D196" s="169"/>
    </row>
    <row r="197" spans="3:4" x14ac:dyDescent="0.35">
      <c r="C197" s="169"/>
      <c r="D197" s="169"/>
    </row>
    <row r="198" spans="3:4" x14ac:dyDescent="0.35">
      <c r="C198" s="169"/>
      <c r="D198" s="169"/>
    </row>
    <row r="199" spans="3:4" x14ac:dyDescent="0.35">
      <c r="C199" s="169"/>
      <c r="D199" s="169"/>
    </row>
    <row r="200" spans="3:4" x14ac:dyDescent="0.35">
      <c r="C200" s="169"/>
      <c r="D200" s="169"/>
    </row>
    <row r="201" spans="3:4" x14ac:dyDescent="0.35">
      <c r="C201" s="169"/>
      <c r="D201" s="169"/>
    </row>
    <row r="202" spans="3:4" x14ac:dyDescent="0.35">
      <c r="C202" s="169"/>
      <c r="D202" s="169"/>
    </row>
    <row r="203" spans="3:4" x14ac:dyDescent="0.35">
      <c r="C203" s="169"/>
      <c r="D203" s="169"/>
    </row>
    <row r="204" spans="3:4" x14ac:dyDescent="0.35">
      <c r="C204" s="169"/>
      <c r="D204" s="169"/>
    </row>
    <row r="205" spans="3:4" x14ac:dyDescent="0.35">
      <c r="C205" s="169"/>
      <c r="D205" s="169"/>
    </row>
    <row r="206" spans="3:4" x14ac:dyDescent="0.35">
      <c r="C206" s="169"/>
      <c r="D206" s="169"/>
    </row>
    <row r="207" spans="3:4" x14ac:dyDescent="0.35">
      <c r="C207" s="169"/>
      <c r="D207" s="169"/>
    </row>
    <row r="208" spans="3:4" x14ac:dyDescent="0.35">
      <c r="C208" s="169"/>
      <c r="D208" s="169"/>
    </row>
    <row r="209" spans="3:4" x14ac:dyDescent="0.35">
      <c r="C209" s="169"/>
      <c r="D209" s="169"/>
    </row>
    <row r="210" spans="3:4" x14ac:dyDescent="0.35">
      <c r="C210" s="169"/>
      <c r="D210" s="169"/>
    </row>
    <row r="211" spans="3:4" x14ac:dyDescent="0.35">
      <c r="C211" s="169"/>
      <c r="D211" s="169"/>
    </row>
    <row r="212" spans="3:4" x14ac:dyDescent="0.35">
      <c r="C212" s="169"/>
      <c r="D212" s="169"/>
    </row>
    <row r="213" spans="3:4" x14ac:dyDescent="0.35">
      <c r="C213" s="169"/>
      <c r="D213" s="169"/>
    </row>
    <row r="214" spans="3:4" x14ac:dyDescent="0.35">
      <c r="C214" s="169"/>
      <c r="D214" s="169"/>
    </row>
    <row r="215" spans="3:4" x14ac:dyDescent="0.35">
      <c r="C215" s="169"/>
      <c r="D215" s="169"/>
    </row>
    <row r="216" spans="3:4" x14ac:dyDescent="0.35">
      <c r="C216" s="169"/>
      <c r="D216" s="169"/>
    </row>
    <row r="217" spans="3:4" x14ac:dyDescent="0.35">
      <c r="C217" s="169"/>
      <c r="D217" s="169"/>
    </row>
    <row r="218" spans="3:4" x14ac:dyDescent="0.35">
      <c r="C218" s="169"/>
      <c r="D218" s="169"/>
    </row>
    <row r="219" spans="3:4" x14ac:dyDescent="0.35">
      <c r="C219" s="169"/>
      <c r="D219" s="169"/>
    </row>
    <row r="220" spans="3:4" x14ac:dyDescent="0.35">
      <c r="C220" s="169"/>
      <c r="D220" s="169"/>
    </row>
    <row r="221" spans="3:4" x14ac:dyDescent="0.35">
      <c r="C221" s="169"/>
      <c r="D221" s="169"/>
    </row>
    <row r="222" spans="3:4" x14ac:dyDescent="0.35">
      <c r="C222" s="169"/>
      <c r="D222" s="169"/>
    </row>
    <row r="223" spans="3:4" x14ac:dyDescent="0.35">
      <c r="C223" s="169"/>
      <c r="D223" s="169"/>
    </row>
    <row r="224" spans="3:4" x14ac:dyDescent="0.35">
      <c r="C224" s="169"/>
      <c r="D224" s="169"/>
    </row>
    <row r="225" spans="3:4" x14ac:dyDescent="0.35">
      <c r="C225" s="169"/>
      <c r="D225" s="169"/>
    </row>
    <row r="226" spans="3:4" x14ac:dyDescent="0.35">
      <c r="C226" s="169"/>
      <c r="D226" s="169"/>
    </row>
    <row r="227" spans="3:4" x14ac:dyDescent="0.35">
      <c r="C227" s="169"/>
      <c r="D227" s="169"/>
    </row>
    <row r="228" spans="3:4" x14ac:dyDescent="0.35">
      <c r="C228" s="169"/>
      <c r="D228" s="169"/>
    </row>
    <row r="229" spans="3:4" x14ac:dyDescent="0.35">
      <c r="C229" s="169"/>
      <c r="D229" s="169"/>
    </row>
    <row r="230" spans="3:4" x14ac:dyDescent="0.35">
      <c r="C230" s="169"/>
      <c r="D230" s="169"/>
    </row>
    <row r="231" spans="3:4" x14ac:dyDescent="0.35">
      <c r="C231" s="169"/>
      <c r="D231" s="169"/>
    </row>
    <row r="232" spans="3:4" x14ac:dyDescent="0.35">
      <c r="C232" s="169"/>
      <c r="D232" s="169"/>
    </row>
    <row r="233" spans="3:4" x14ac:dyDescent="0.35">
      <c r="C233" s="169"/>
      <c r="D233" s="169"/>
    </row>
    <row r="234" spans="3:4" x14ac:dyDescent="0.35">
      <c r="C234" s="169"/>
      <c r="D234" s="169"/>
    </row>
    <row r="235" spans="3:4" x14ac:dyDescent="0.35">
      <c r="C235" s="169"/>
      <c r="D235" s="169"/>
    </row>
    <row r="236" spans="3:4" x14ac:dyDescent="0.35">
      <c r="C236" s="169"/>
      <c r="D236" s="169"/>
    </row>
    <row r="237" spans="3:4" x14ac:dyDescent="0.35">
      <c r="C237" s="169"/>
      <c r="D237" s="169"/>
    </row>
    <row r="238" spans="3:4" x14ac:dyDescent="0.35">
      <c r="C238" s="169"/>
      <c r="D238" s="169"/>
    </row>
    <row r="239" spans="3:4" x14ac:dyDescent="0.35">
      <c r="C239" s="169"/>
      <c r="D239" s="169"/>
    </row>
    <row r="240" spans="3:4" x14ac:dyDescent="0.35">
      <c r="C240" s="169"/>
      <c r="D240" s="169"/>
    </row>
    <row r="241" spans="3:4" x14ac:dyDescent="0.35">
      <c r="C241" s="169"/>
      <c r="D241" s="169"/>
    </row>
    <row r="242" spans="3:4" x14ac:dyDescent="0.35">
      <c r="C242" s="169"/>
      <c r="D242" s="169"/>
    </row>
    <row r="243" spans="3:4" x14ac:dyDescent="0.35">
      <c r="C243" s="169"/>
      <c r="D243" s="169"/>
    </row>
    <row r="244" spans="3:4" x14ac:dyDescent="0.35">
      <c r="C244" s="169"/>
      <c r="D244" s="169"/>
    </row>
    <row r="245" spans="3:4" x14ac:dyDescent="0.35">
      <c r="C245" s="169"/>
      <c r="D245" s="169"/>
    </row>
    <row r="246" spans="3:4" x14ac:dyDescent="0.35">
      <c r="C246" s="169"/>
      <c r="D246" s="169"/>
    </row>
    <row r="247" spans="3:4" x14ac:dyDescent="0.35">
      <c r="C247" s="169"/>
      <c r="D247" s="169"/>
    </row>
    <row r="248" spans="3:4" x14ac:dyDescent="0.35">
      <c r="C248" s="169"/>
      <c r="D248" s="169"/>
    </row>
    <row r="249" spans="3:4" x14ac:dyDescent="0.35">
      <c r="C249" s="169"/>
      <c r="D249" s="169"/>
    </row>
    <row r="250" spans="3:4" x14ac:dyDescent="0.35">
      <c r="C250" s="169"/>
      <c r="D250" s="169"/>
    </row>
    <row r="251" spans="3:4" x14ac:dyDescent="0.35">
      <c r="C251" s="169"/>
      <c r="D251" s="169"/>
    </row>
    <row r="252" spans="3:4" x14ac:dyDescent="0.35">
      <c r="C252" s="169"/>
      <c r="D252" s="169"/>
    </row>
    <row r="253" spans="3:4" x14ac:dyDescent="0.35">
      <c r="C253" s="169"/>
      <c r="D253" s="169"/>
    </row>
    <row r="254" spans="3:4" x14ac:dyDescent="0.35">
      <c r="C254" s="169"/>
      <c r="D254" s="169"/>
    </row>
    <row r="255" spans="3:4" x14ac:dyDescent="0.35">
      <c r="C255" s="169"/>
      <c r="D255" s="169"/>
    </row>
    <row r="256" spans="3:4" x14ac:dyDescent="0.35">
      <c r="C256" s="169"/>
      <c r="D256" s="169"/>
    </row>
    <row r="257" spans="3:4" x14ac:dyDescent="0.35">
      <c r="C257" s="169"/>
      <c r="D257" s="169"/>
    </row>
    <row r="258" spans="3:4" x14ac:dyDescent="0.35">
      <c r="C258" s="169"/>
      <c r="D258" s="169"/>
    </row>
    <row r="259" spans="3:4" x14ac:dyDescent="0.35">
      <c r="C259" s="169"/>
      <c r="D259" s="169"/>
    </row>
    <row r="260" spans="3:4" x14ac:dyDescent="0.35">
      <c r="C260" s="169"/>
      <c r="D260" s="169"/>
    </row>
    <row r="261" spans="3:4" x14ac:dyDescent="0.35">
      <c r="C261" s="169"/>
      <c r="D261" s="169"/>
    </row>
    <row r="262" spans="3:4" x14ac:dyDescent="0.35">
      <c r="C262" s="169"/>
      <c r="D262" s="169"/>
    </row>
    <row r="263" spans="3:4" x14ac:dyDescent="0.35">
      <c r="C263" s="169"/>
      <c r="D263" s="169"/>
    </row>
    <row r="264" spans="3:4" x14ac:dyDescent="0.35">
      <c r="C264" s="169"/>
      <c r="D264" s="169"/>
    </row>
    <row r="265" spans="3:4" x14ac:dyDescent="0.35">
      <c r="C265" s="169"/>
      <c r="D265" s="169"/>
    </row>
    <row r="266" spans="3:4" x14ac:dyDescent="0.35">
      <c r="C266" s="169"/>
      <c r="D266" s="169"/>
    </row>
    <row r="267" spans="3:4" x14ac:dyDescent="0.35">
      <c r="C267" s="169"/>
      <c r="D267" s="169"/>
    </row>
    <row r="268" spans="3:4" x14ac:dyDescent="0.35">
      <c r="C268" s="169"/>
      <c r="D268" s="169"/>
    </row>
    <row r="269" spans="3:4" x14ac:dyDescent="0.35">
      <c r="C269" s="169"/>
      <c r="D269" s="169"/>
    </row>
    <row r="270" spans="3:4" x14ac:dyDescent="0.35">
      <c r="C270" s="169"/>
      <c r="D270" s="169"/>
    </row>
    <row r="271" spans="3:4" x14ac:dyDescent="0.35">
      <c r="C271" s="169"/>
      <c r="D271" s="169"/>
    </row>
    <row r="272" spans="3:4" x14ac:dyDescent="0.35">
      <c r="C272" s="169"/>
      <c r="D272" s="169"/>
    </row>
    <row r="273" spans="3:4" x14ac:dyDescent="0.35">
      <c r="C273" s="169"/>
      <c r="D273" s="169"/>
    </row>
    <row r="274" spans="3:4" x14ac:dyDescent="0.35">
      <c r="C274" s="169"/>
      <c r="D274" s="169"/>
    </row>
    <row r="275" spans="3:4" x14ac:dyDescent="0.35">
      <c r="C275" s="169"/>
      <c r="D275" s="169"/>
    </row>
    <row r="276" spans="3:4" x14ac:dyDescent="0.35">
      <c r="C276" s="169"/>
      <c r="D276" s="169"/>
    </row>
    <row r="277" spans="3:4" x14ac:dyDescent="0.35">
      <c r="C277" s="169"/>
      <c r="D277" s="169"/>
    </row>
    <row r="278" spans="3:4" x14ac:dyDescent="0.35">
      <c r="C278" s="169"/>
      <c r="D278" s="169"/>
    </row>
    <row r="279" spans="3:4" x14ac:dyDescent="0.35">
      <c r="C279" s="169"/>
      <c r="D279" s="169"/>
    </row>
    <row r="280" spans="3:4" x14ac:dyDescent="0.35">
      <c r="C280" s="169"/>
      <c r="D280" s="169"/>
    </row>
    <row r="281" spans="3:4" x14ac:dyDescent="0.35">
      <c r="C281" s="169"/>
      <c r="D281" s="169"/>
    </row>
    <row r="282" spans="3:4" x14ac:dyDescent="0.35">
      <c r="C282" s="169"/>
      <c r="D282" s="169"/>
    </row>
    <row r="283" spans="3:4" x14ac:dyDescent="0.35">
      <c r="C283" s="169"/>
      <c r="D283" s="169"/>
    </row>
    <row r="284" spans="3:4" x14ac:dyDescent="0.35">
      <c r="C284" s="169"/>
      <c r="D284" s="169"/>
    </row>
    <row r="285" spans="3:4" x14ac:dyDescent="0.35">
      <c r="C285" s="169"/>
      <c r="D285" s="169"/>
    </row>
    <row r="286" spans="3:4" x14ac:dyDescent="0.35">
      <c r="C286" s="169"/>
      <c r="D286" s="169"/>
    </row>
    <row r="287" spans="3:4" x14ac:dyDescent="0.35">
      <c r="C287" s="169"/>
      <c r="D287" s="169"/>
    </row>
    <row r="288" spans="3:4" x14ac:dyDescent="0.35">
      <c r="C288" s="169"/>
      <c r="D288" s="169"/>
    </row>
    <row r="289" spans="3:4" x14ac:dyDescent="0.35">
      <c r="C289" s="169"/>
      <c r="D289" s="169"/>
    </row>
    <row r="290" spans="3:4" x14ac:dyDescent="0.35">
      <c r="C290" s="169"/>
      <c r="D290" s="169"/>
    </row>
    <row r="291" spans="3:4" x14ac:dyDescent="0.35">
      <c r="C291" s="169"/>
      <c r="D291" s="169"/>
    </row>
    <row r="292" spans="3:4" x14ac:dyDescent="0.35">
      <c r="C292" s="169"/>
      <c r="D292" s="169"/>
    </row>
    <row r="293" spans="3:4" x14ac:dyDescent="0.35">
      <c r="C293" s="169"/>
      <c r="D293" s="169"/>
    </row>
    <row r="294" spans="3:4" x14ac:dyDescent="0.35">
      <c r="C294" s="169"/>
      <c r="D294" s="169"/>
    </row>
    <row r="295" spans="3:4" x14ac:dyDescent="0.35">
      <c r="C295" s="169"/>
      <c r="D295" s="169"/>
    </row>
    <row r="296" spans="3:4" x14ac:dyDescent="0.35">
      <c r="C296" s="169"/>
      <c r="D296" s="169"/>
    </row>
    <row r="297" spans="3:4" x14ac:dyDescent="0.35">
      <c r="C297" s="169"/>
      <c r="D297" s="169"/>
    </row>
    <row r="298" spans="3:4" x14ac:dyDescent="0.35">
      <c r="C298" s="169"/>
      <c r="D298" s="169"/>
    </row>
    <row r="299" spans="3:4" x14ac:dyDescent="0.35">
      <c r="C299" s="169"/>
      <c r="D299" s="169"/>
    </row>
    <row r="300" spans="3:4" x14ac:dyDescent="0.35">
      <c r="C300" s="169"/>
      <c r="D300" s="169"/>
    </row>
    <row r="301" spans="3:4" x14ac:dyDescent="0.35">
      <c r="C301" s="169"/>
      <c r="D301" s="169"/>
    </row>
    <row r="302" spans="3:4" x14ac:dyDescent="0.35">
      <c r="C302" s="169"/>
      <c r="D302" s="169"/>
    </row>
    <row r="303" spans="3:4" x14ac:dyDescent="0.35">
      <c r="C303" s="169"/>
      <c r="D303" s="169"/>
    </row>
    <row r="304" spans="3:4" x14ac:dyDescent="0.35">
      <c r="C304" s="169"/>
      <c r="D304" s="169"/>
    </row>
    <row r="305" spans="3:4" x14ac:dyDescent="0.35">
      <c r="C305" s="169"/>
      <c r="D305" s="169"/>
    </row>
    <row r="306" spans="3:4" x14ac:dyDescent="0.35">
      <c r="C306" s="169"/>
      <c r="D306" s="169"/>
    </row>
    <row r="307" spans="3:4" x14ac:dyDescent="0.35">
      <c r="C307" s="169"/>
      <c r="D307" s="169"/>
    </row>
    <row r="308" spans="3:4" x14ac:dyDescent="0.35">
      <c r="C308" s="169"/>
      <c r="D308" s="169"/>
    </row>
    <row r="309" spans="3:4" x14ac:dyDescent="0.35">
      <c r="C309" s="169"/>
      <c r="D309" s="169"/>
    </row>
    <row r="310" spans="3:4" x14ac:dyDescent="0.35">
      <c r="C310" s="169"/>
      <c r="D310" s="169"/>
    </row>
    <row r="311" spans="3:4" x14ac:dyDescent="0.35">
      <c r="C311" s="169"/>
      <c r="D311" s="169"/>
    </row>
    <row r="312" spans="3:4" x14ac:dyDescent="0.35">
      <c r="C312" s="169"/>
      <c r="D312" s="169"/>
    </row>
    <row r="313" spans="3:4" x14ac:dyDescent="0.35">
      <c r="C313" s="169"/>
      <c r="D313" s="169"/>
    </row>
    <row r="314" spans="3:4" x14ac:dyDescent="0.35">
      <c r="C314" s="169"/>
      <c r="D314" s="169"/>
    </row>
    <row r="315" spans="3:4" x14ac:dyDescent="0.35">
      <c r="C315" s="169"/>
      <c r="D315" s="169"/>
    </row>
    <row r="316" spans="3:4" x14ac:dyDescent="0.35">
      <c r="C316" s="169"/>
      <c r="D316" s="169"/>
    </row>
    <row r="317" spans="3:4" x14ac:dyDescent="0.35">
      <c r="C317" s="169"/>
      <c r="D317" s="169"/>
    </row>
    <row r="318" spans="3:4" x14ac:dyDescent="0.35">
      <c r="C318" s="169"/>
      <c r="D318" s="169"/>
    </row>
    <row r="319" spans="3:4" x14ac:dyDescent="0.35">
      <c r="C319" s="169"/>
      <c r="D319" s="169"/>
    </row>
    <row r="320" spans="3:4" x14ac:dyDescent="0.35">
      <c r="C320" s="169"/>
      <c r="D320" s="169"/>
    </row>
    <row r="321" spans="3:4" x14ac:dyDescent="0.35">
      <c r="C321" s="169"/>
      <c r="D321" s="169"/>
    </row>
    <row r="322" spans="3:4" x14ac:dyDescent="0.35">
      <c r="C322" s="169"/>
      <c r="D322" s="169"/>
    </row>
    <row r="323" spans="3:4" x14ac:dyDescent="0.35">
      <c r="C323" s="169"/>
      <c r="D323" s="169"/>
    </row>
    <row r="324" spans="3:4" x14ac:dyDescent="0.35">
      <c r="C324" s="169"/>
      <c r="D324" s="169"/>
    </row>
    <row r="325" spans="3:4" x14ac:dyDescent="0.35">
      <c r="C325" s="169"/>
      <c r="D325" s="169"/>
    </row>
    <row r="326" spans="3:4" x14ac:dyDescent="0.35">
      <c r="C326" s="169"/>
      <c r="D326" s="169"/>
    </row>
    <row r="327" spans="3:4" x14ac:dyDescent="0.35">
      <c r="C327" s="169"/>
      <c r="D327" s="169"/>
    </row>
    <row r="328" spans="3:4" x14ac:dyDescent="0.35">
      <c r="C328" s="169"/>
      <c r="D328" s="169"/>
    </row>
    <row r="329" spans="3:4" x14ac:dyDescent="0.35">
      <c r="C329" s="169"/>
      <c r="D329" s="169"/>
    </row>
    <row r="330" spans="3:4" x14ac:dyDescent="0.35">
      <c r="C330" s="169"/>
      <c r="D330" s="169"/>
    </row>
    <row r="331" spans="3:4" x14ac:dyDescent="0.35">
      <c r="C331" s="169"/>
      <c r="D331" s="169"/>
    </row>
    <row r="332" spans="3:4" x14ac:dyDescent="0.35">
      <c r="C332" s="169"/>
      <c r="D332" s="169"/>
    </row>
    <row r="333" spans="3:4" x14ac:dyDescent="0.35">
      <c r="C333" s="169"/>
      <c r="D333" s="169"/>
    </row>
    <row r="334" spans="3:4" x14ac:dyDescent="0.35">
      <c r="C334" s="169"/>
      <c r="D334" s="169"/>
    </row>
    <row r="335" spans="3:4" x14ac:dyDescent="0.35">
      <c r="C335" s="169"/>
      <c r="D335" s="169"/>
    </row>
    <row r="336" spans="3:4" x14ac:dyDescent="0.35">
      <c r="C336" s="169"/>
      <c r="D336" s="169"/>
    </row>
    <row r="337" spans="3:4" x14ac:dyDescent="0.35">
      <c r="C337" s="169"/>
      <c r="D337" s="169"/>
    </row>
    <row r="338" spans="3:4" x14ac:dyDescent="0.35">
      <c r="C338" s="169"/>
      <c r="D338" s="169"/>
    </row>
    <row r="339" spans="3:4" x14ac:dyDescent="0.35">
      <c r="C339" s="169"/>
      <c r="D339" s="169"/>
    </row>
    <row r="340" spans="3:4" x14ac:dyDescent="0.35">
      <c r="C340" s="169"/>
      <c r="D340" s="169"/>
    </row>
    <row r="341" spans="3:4" x14ac:dyDescent="0.35">
      <c r="C341" s="169"/>
      <c r="D341" s="169"/>
    </row>
    <row r="342" spans="3:4" x14ac:dyDescent="0.35">
      <c r="C342" s="169"/>
      <c r="D342" s="169"/>
    </row>
    <row r="343" spans="3:4" x14ac:dyDescent="0.35">
      <c r="C343" s="169"/>
      <c r="D343" s="169"/>
    </row>
    <row r="344" spans="3:4" x14ac:dyDescent="0.35">
      <c r="C344" s="169"/>
      <c r="D344" s="169"/>
    </row>
    <row r="345" spans="3:4" x14ac:dyDescent="0.35">
      <c r="C345" s="169"/>
      <c r="D345" s="169"/>
    </row>
    <row r="346" spans="3:4" x14ac:dyDescent="0.35">
      <c r="C346" s="169"/>
      <c r="D346" s="169"/>
    </row>
    <row r="347" spans="3:4" x14ac:dyDescent="0.35">
      <c r="C347" s="169"/>
      <c r="D347" s="169"/>
    </row>
    <row r="348" spans="3:4" x14ac:dyDescent="0.35">
      <c r="C348" s="169"/>
      <c r="D348" s="169"/>
    </row>
    <row r="349" spans="3:4" x14ac:dyDescent="0.35">
      <c r="C349" s="169"/>
      <c r="D349" s="169"/>
    </row>
    <row r="350" spans="3:4" x14ac:dyDescent="0.35">
      <c r="C350" s="169"/>
      <c r="D350" s="169"/>
    </row>
    <row r="351" spans="3:4" x14ac:dyDescent="0.35">
      <c r="C351" s="169"/>
      <c r="D351" s="169"/>
    </row>
    <row r="352" spans="3:4" x14ac:dyDescent="0.35">
      <c r="C352" s="169"/>
      <c r="D352" s="169"/>
    </row>
    <row r="353" spans="3:4" x14ac:dyDescent="0.35">
      <c r="C353" s="169"/>
      <c r="D353" s="169"/>
    </row>
    <row r="354" spans="3:4" x14ac:dyDescent="0.35">
      <c r="C354" s="169"/>
      <c r="D354" s="169"/>
    </row>
  </sheetData>
  <mergeCells count="1">
    <mergeCell ref="B1:P1"/>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9C2C3-921F-4022-B596-60B650C79A67}">
  <dimension ref="B1:M14"/>
  <sheetViews>
    <sheetView workbookViewId="0">
      <selection activeCell="H7" sqref="H7"/>
    </sheetView>
  </sheetViews>
  <sheetFormatPr defaultColWidth="8.77734375" defaultRowHeight="13.5" customHeight="1" x14ac:dyDescent="0.35"/>
  <cols>
    <col min="1" max="1" width="2.21875" style="166" customWidth="1"/>
    <col min="2" max="2" width="8.77734375" style="166"/>
    <col min="3" max="3" width="2.88671875" style="166" customWidth="1"/>
    <col min="4" max="4" width="14.6640625" style="166" customWidth="1"/>
    <col min="5" max="5" width="2.21875" style="166" customWidth="1"/>
    <col min="6" max="6" width="31.77734375" style="166" customWidth="1"/>
    <col min="7" max="7" width="2.88671875" style="166" customWidth="1"/>
    <col min="8" max="8" width="15.21875" style="170" bestFit="1" customWidth="1"/>
    <col min="9" max="9" width="2.77734375" style="166" customWidth="1"/>
    <col min="10" max="10" width="14.6640625" style="166" customWidth="1"/>
    <col min="11" max="11" width="31.44140625" style="166" customWidth="1"/>
    <col min="12" max="12" width="3.6640625" style="166" customWidth="1"/>
    <col min="13" max="13" width="28.77734375" style="166" bestFit="1" customWidth="1"/>
    <col min="14" max="16384" width="8.77734375" style="166"/>
  </cols>
  <sheetData>
    <row r="1" spans="2:13" ht="13.5" customHeight="1" x14ac:dyDescent="0.35">
      <c r="H1" s="166"/>
    </row>
    <row r="2" spans="2:13" ht="34.049999999999997" customHeight="1" x14ac:dyDescent="0.35">
      <c r="B2" s="193" t="s">
        <v>85</v>
      </c>
      <c r="C2" s="193"/>
      <c r="D2" s="193" t="s">
        <v>88</v>
      </c>
      <c r="E2" s="193"/>
      <c r="F2" s="193" t="s">
        <v>101</v>
      </c>
      <c r="G2" s="193"/>
      <c r="H2" s="175" t="s">
        <v>102</v>
      </c>
      <c r="I2" s="193"/>
      <c r="J2" s="175" t="s">
        <v>110</v>
      </c>
      <c r="K2" s="175" t="s">
        <v>103</v>
      </c>
      <c r="M2" s="193" t="s">
        <v>104</v>
      </c>
    </row>
    <row r="3" spans="2:13" ht="13.5" customHeight="1" x14ac:dyDescent="0.35">
      <c r="B3" s="194"/>
      <c r="C3" s="195"/>
      <c r="D3" s="166" t="str">
        <f>TEXT(B3,"MMMM")</f>
        <v>January</v>
      </c>
      <c r="F3" s="166" t="s">
        <v>18</v>
      </c>
      <c r="H3" s="170">
        <v>39</v>
      </c>
      <c r="M3" s="184" t="s">
        <v>18</v>
      </c>
    </row>
    <row r="4" spans="2:13" ht="13.5" customHeight="1" x14ac:dyDescent="0.35">
      <c r="B4" s="194"/>
      <c r="F4" s="166" t="s">
        <v>89</v>
      </c>
      <c r="H4" s="170">
        <v>40</v>
      </c>
      <c r="M4" s="185" t="s">
        <v>89</v>
      </c>
    </row>
    <row r="5" spans="2:13" ht="13.5" customHeight="1" x14ac:dyDescent="0.35">
      <c r="B5" s="194"/>
      <c r="F5" s="166" t="s">
        <v>92</v>
      </c>
      <c r="H5" s="170">
        <v>12</v>
      </c>
      <c r="M5" s="185" t="s">
        <v>90</v>
      </c>
    </row>
    <row r="6" spans="2:13" ht="13.5" customHeight="1" x14ac:dyDescent="0.35">
      <c r="B6" s="194"/>
      <c r="F6" s="166" t="s">
        <v>93</v>
      </c>
      <c r="M6" s="185" t="s">
        <v>91</v>
      </c>
    </row>
    <row r="7" spans="2:13" ht="13.5" customHeight="1" x14ac:dyDescent="0.35">
      <c r="B7" s="194"/>
      <c r="F7" s="166" t="s">
        <v>97</v>
      </c>
      <c r="M7" s="185" t="s">
        <v>92</v>
      </c>
    </row>
    <row r="8" spans="2:13" ht="13.5" customHeight="1" x14ac:dyDescent="0.35">
      <c r="M8" s="185" t="s">
        <v>93</v>
      </c>
    </row>
    <row r="9" spans="2:13" ht="13.5" customHeight="1" x14ac:dyDescent="0.35">
      <c r="M9" s="185" t="s">
        <v>94</v>
      </c>
    </row>
    <row r="10" spans="2:13" ht="13.5" customHeight="1" x14ac:dyDescent="0.35">
      <c r="M10" s="185" t="s">
        <v>95</v>
      </c>
    </row>
    <row r="11" spans="2:13" ht="13.5" customHeight="1" x14ac:dyDescent="0.35">
      <c r="M11" s="185" t="s">
        <v>96</v>
      </c>
    </row>
    <row r="12" spans="2:13" ht="13.5" customHeight="1" x14ac:dyDescent="0.35">
      <c r="M12" s="185" t="s">
        <v>97</v>
      </c>
    </row>
    <row r="13" spans="2:13" ht="13.5" customHeight="1" x14ac:dyDescent="0.35">
      <c r="M13" s="185" t="s">
        <v>98</v>
      </c>
    </row>
    <row r="14" spans="2:13" ht="13.5" customHeight="1" x14ac:dyDescent="0.35">
      <c r="M14" s="185" t="s">
        <v>99</v>
      </c>
    </row>
  </sheetData>
  <dataValidations count="1">
    <dataValidation type="list" allowBlank="1" showInputMessage="1" showErrorMessage="1" sqref="F3:F1048576" xr:uid="{0BA20936-DE04-4EC5-8E46-122DA62ABB81}">
      <formula1>$M$3:$M$14</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B0256-42D5-42E1-BA76-B563807C0793}">
  <sheetPr codeName="Sheet3"/>
  <dimension ref="B1:Z55"/>
  <sheetViews>
    <sheetView showGridLines="0" zoomScale="170" zoomScaleNormal="170" workbookViewId="0">
      <selection activeCell="Z3" sqref="Z3"/>
    </sheetView>
  </sheetViews>
  <sheetFormatPr defaultRowHeight="14.4" x14ac:dyDescent="0.3"/>
  <cols>
    <col min="1" max="1" width="0.5546875" customWidth="1"/>
    <col min="2" max="2" width="6.77734375" customWidth="1"/>
    <col min="3" max="3" width="6" customWidth="1"/>
    <col min="4" max="4" width="8.77734375" bestFit="1" customWidth="1"/>
    <col min="5" max="5" width="9.77734375" customWidth="1"/>
    <col min="6" max="6" width="10.21875" customWidth="1"/>
    <col min="7" max="7" width="8.21875" customWidth="1"/>
    <col min="8" max="8" width="6.44140625" bestFit="1" customWidth="1"/>
    <col min="9" max="15" width="5.21875" customWidth="1"/>
    <col min="16" max="16" width="7.5546875" bestFit="1" customWidth="1"/>
    <col min="17" max="17" width="4.5546875" customWidth="1"/>
    <col min="18" max="24" width="1" customWidth="1"/>
    <col min="26" max="26" width="15.21875" bestFit="1" customWidth="1"/>
  </cols>
  <sheetData>
    <row r="1" spans="2:26" ht="5.25" customHeight="1" x14ac:dyDescent="0.3">
      <c r="R1" s="266"/>
      <c r="S1" s="266"/>
    </row>
    <row r="2" spans="2:26" ht="2.25" customHeight="1" x14ac:dyDescent="0.3">
      <c r="R2" s="266"/>
      <c r="S2" s="266"/>
    </row>
    <row r="3" spans="2:26" x14ac:dyDescent="0.3">
      <c r="C3" s="28" t="s">
        <v>23</v>
      </c>
      <c r="D3" s="28"/>
      <c r="E3" s="28"/>
      <c r="F3" s="28" t="str">
        <f>'Dashboard - HR Metrics'!X3</f>
        <v>Aug</v>
      </c>
      <c r="G3" s="29" t="str">
        <f>_xlfn.IFNA(_xlfn.XLOOKUP(_xlfn.XMATCH(F3,R3:R14,0)-1,S3:S14,R3:R14),"Jan")</f>
        <v>Jul</v>
      </c>
      <c r="H3" s="29" t="s">
        <v>34</v>
      </c>
      <c r="R3" s="39" t="s">
        <v>0</v>
      </c>
      <c r="S3" s="39">
        <v>1</v>
      </c>
      <c r="Z3" s="40" t="s">
        <v>35</v>
      </c>
    </row>
    <row r="4" spans="2:26" ht="15" x14ac:dyDescent="0.3">
      <c r="B4" s="18"/>
      <c r="C4" s="267" t="str">
        <f>KPIs!C3</f>
        <v>Cost Per Hire</v>
      </c>
      <c r="D4" s="267"/>
      <c r="E4" s="267"/>
      <c r="F4" s="24">
        <f>_xlfn.XLOOKUP($F$3,Months,KPIs!E3:P3)</f>
        <v>4000</v>
      </c>
      <c r="G4" s="24">
        <f>_xlfn.XLOOKUP($G$3,Months,KPIs!E3:P3)</f>
        <v>6000</v>
      </c>
      <c r="H4" s="30">
        <f t="shared" ref="H4:H13" si="0">(F4/G4)-100%</f>
        <v>-0.33333333333333337</v>
      </c>
      <c r="R4" s="39" t="s">
        <v>1</v>
      </c>
      <c r="S4" s="39">
        <v>2</v>
      </c>
    </row>
    <row r="5" spans="2:26" ht="15" x14ac:dyDescent="0.3">
      <c r="B5" s="19"/>
      <c r="C5" s="267" t="str">
        <f>KPIs!C4</f>
        <v>Time to Hire (days per hire)</v>
      </c>
      <c r="D5" s="267"/>
      <c r="E5" s="267"/>
      <c r="F5" s="22">
        <f>_xlfn.XLOOKUP($F$3,Months,KPIs!E4:P4)</f>
        <v>19</v>
      </c>
      <c r="G5" s="22">
        <f>_xlfn.XLOOKUP($G$3,Months,KPIs!E4:P4)</f>
        <v>24</v>
      </c>
      <c r="H5" s="30">
        <f t="shared" si="0"/>
        <v>-0.20833333333333337</v>
      </c>
      <c r="R5" s="39" t="s">
        <v>2</v>
      </c>
      <c r="S5" s="39">
        <v>3</v>
      </c>
    </row>
    <row r="6" spans="2:26" ht="15" x14ac:dyDescent="0.3">
      <c r="B6" s="19"/>
      <c r="C6" s="267" t="str">
        <f>KPIs!C5</f>
        <v>Quality of hire (out of 10)</v>
      </c>
      <c r="D6" s="267"/>
      <c r="E6" s="267"/>
      <c r="F6" s="24">
        <f>_xlfn.XLOOKUP($F$3,Months,KPIs!E5:P5)</f>
        <v>9</v>
      </c>
      <c r="G6" s="24">
        <f>_xlfn.XLOOKUP($G$3,Months,KPIs!E5:P5)</f>
        <v>1</v>
      </c>
      <c r="H6" s="24">
        <f t="shared" si="0"/>
        <v>8</v>
      </c>
      <c r="R6" s="39" t="s">
        <v>5</v>
      </c>
      <c r="S6" s="39">
        <v>4</v>
      </c>
    </row>
    <row r="7" spans="2:26" ht="15" x14ac:dyDescent="0.3">
      <c r="B7" s="18"/>
      <c r="C7" s="267" t="str">
        <f>KPIs!C6</f>
        <v>Employee Net Promoter Score (%)</v>
      </c>
      <c r="D7" s="267"/>
      <c r="E7" s="267"/>
      <c r="F7" s="24">
        <f>_xlfn.XLOOKUP($F$3,Months,KPIs!E6:P6)</f>
        <v>0.95</v>
      </c>
      <c r="G7" s="24">
        <f>_xlfn.XLOOKUP($G$3,Months,KPIs!E6:P6)</f>
        <v>0.92</v>
      </c>
      <c r="H7" s="24">
        <f t="shared" si="0"/>
        <v>3.2608695652173836E-2</v>
      </c>
      <c r="R7" s="39" t="s">
        <v>9</v>
      </c>
      <c r="S7" s="39">
        <v>5</v>
      </c>
    </row>
    <row r="8" spans="2:26" ht="15" x14ac:dyDescent="0.3">
      <c r="B8" s="19"/>
      <c r="C8" s="267" t="str">
        <f>KPIs!C7</f>
        <v>Absenteeism Rate (%)</v>
      </c>
      <c r="D8" s="267"/>
      <c r="E8" s="267"/>
      <c r="F8" s="24">
        <f>_xlfn.XLOOKUP($F$3,Months,KPIs!E7:P7)</f>
        <v>0.09</v>
      </c>
      <c r="G8" s="24">
        <f>_xlfn.XLOOKUP($G$3,Months,KPIs!E7:P7)</f>
        <v>0.01</v>
      </c>
      <c r="H8" s="24">
        <f t="shared" si="0"/>
        <v>8</v>
      </c>
      <c r="R8" s="39" t="s">
        <v>6</v>
      </c>
      <c r="S8" s="39">
        <v>6</v>
      </c>
    </row>
    <row r="9" spans="2:26" ht="15" x14ac:dyDescent="0.3">
      <c r="B9" s="19"/>
      <c r="C9" s="267" t="str">
        <f>KPIs!C8</f>
        <v>Employee Growth Rate (%)</v>
      </c>
      <c r="D9" s="267"/>
      <c r="E9" s="267"/>
      <c r="F9" s="24">
        <f>_xlfn.XLOOKUP($F$3,Months,KPIs!E8:P8)</f>
        <v>0.46</v>
      </c>
      <c r="G9" s="24">
        <f>_xlfn.XLOOKUP($G$3,Months,KPIs!E8:P8)</f>
        <v>0.45</v>
      </c>
      <c r="H9" s="24">
        <f t="shared" si="0"/>
        <v>2.2222222222222143E-2</v>
      </c>
      <c r="R9" s="39" t="s">
        <v>7</v>
      </c>
      <c r="S9" s="39">
        <v>7</v>
      </c>
    </row>
    <row r="10" spans="2:26" ht="15" x14ac:dyDescent="0.3">
      <c r="B10" s="18"/>
      <c r="C10" s="267" t="str">
        <f>KPIs!C9</f>
        <v>Employee Turnover Rate (%)</v>
      </c>
      <c r="D10" s="267"/>
      <c r="E10" s="267"/>
      <c r="F10" s="24">
        <f>_xlfn.XLOOKUP($F$3,Months,KPIs!E9:P9)</f>
        <v>0.08</v>
      </c>
      <c r="G10" s="24">
        <f>_xlfn.XLOOKUP($G$3,Months,KPIs!E9:P9)</f>
        <v>0.02</v>
      </c>
      <c r="H10" s="24">
        <f t="shared" si="0"/>
        <v>3</v>
      </c>
      <c r="R10" s="39" t="s">
        <v>8</v>
      </c>
      <c r="S10" s="39">
        <v>8</v>
      </c>
    </row>
    <row r="11" spans="2:26" ht="15" x14ac:dyDescent="0.3">
      <c r="B11" s="19"/>
      <c r="C11" s="267" t="str">
        <f>KPIs!C10</f>
        <v>Salary Averages</v>
      </c>
      <c r="D11" s="267"/>
      <c r="E11" s="267"/>
      <c r="F11" s="22">
        <f>_xlfn.XLOOKUP($F$3,Months,KPIs!E10:P10)</f>
        <v>9500</v>
      </c>
      <c r="G11" s="22">
        <f>_xlfn.XLOOKUP($G$3,Months,KPIs!E10:P10)</f>
        <v>10500</v>
      </c>
      <c r="H11" s="24">
        <f t="shared" si="0"/>
        <v>-9.5238095238095233E-2</v>
      </c>
      <c r="R11" s="39" t="s">
        <v>10</v>
      </c>
      <c r="S11" s="39">
        <v>9</v>
      </c>
    </row>
    <row r="12" spans="2:26" ht="15" x14ac:dyDescent="0.3">
      <c r="B12" s="19"/>
      <c r="C12" s="267" t="str">
        <f>KPIs!C11</f>
        <v>Salary Range Penetration</v>
      </c>
      <c r="D12" s="267"/>
      <c r="E12" s="267"/>
      <c r="F12" s="24">
        <f>_xlfn.XLOOKUP($F$3,Months,KPIs!E11:P11)</f>
        <v>0.57999999999999996</v>
      </c>
      <c r="G12" s="24">
        <f>_xlfn.XLOOKUP($G$3,Months,KPIs!E11:P11)</f>
        <v>0.59</v>
      </c>
      <c r="H12" s="24">
        <f t="shared" si="0"/>
        <v>-1.6949152542372947E-2</v>
      </c>
      <c r="R12" s="39" t="s">
        <v>11</v>
      </c>
      <c r="S12" s="39">
        <v>10</v>
      </c>
    </row>
    <row r="13" spans="2:26" ht="15" x14ac:dyDescent="0.3">
      <c r="B13" s="19"/>
      <c r="C13" s="267" t="str">
        <f>KPIs!C12</f>
        <v>Diversity Ratio</v>
      </c>
      <c r="D13" s="267"/>
      <c r="E13" s="267"/>
      <c r="F13" s="24">
        <f>_xlfn.XLOOKUP($F$3,Months,KPIs!E12:P12)</f>
        <v>0.45</v>
      </c>
      <c r="G13" s="24">
        <f>_xlfn.XLOOKUP($G$3,Months,KPIs!E12:P12)</f>
        <v>0.41</v>
      </c>
      <c r="H13" s="24">
        <f t="shared" si="0"/>
        <v>9.7560975609756184E-2</v>
      </c>
      <c r="R13" s="39" t="s">
        <v>12</v>
      </c>
      <c r="S13" s="39">
        <v>11</v>
      </c>
    </row>
    <row r="14" spans="2:26" ht="15" x14ac:dyDescent="0.3">
      <c r="B14" s="17"/>
      <c r="R14" s="39" t="s">
        <v>13</v>
      </c>
      <c r="S14" s="39">
        <v>12</v>
      </c>
    </row>
    <row r="15" spans="2:26" x14ac:dyDescent="0.3">
      <c r="B15" s="269"/>
      <c r="C15" s="267" t="str">
        <f>KPIs!C15</f>
        <v>90-day quit rate (%)</v>
      </c>
      <c r="D15" s="267"/>
      <c r="E15" s="267"/>
      <c r="F15" s="26">
        <f>_xlfn.XLOOKUP($F$3,Months,KPIs!E15:P15)</f>
        <v>0.16</v>
      </c>
      <c r="G15" s="24">
        <f>_xlfn.XLOOKUP($G$3,Months,KPIs!E15:P15)</f>
        <v>0.1</v>
      </c>
      <c r="H15" s="24">
        <f t="shared" ref="H15:H20" si="1">(F15/G15)-100%</f>
        <v>0.59999999999999987</v>
      </c>
    </row>
    <row r="16" spans="2:26" x14ac:dyDescent="0.3">
      <c r="B16" s="269"/>
      <c r="C16" s="267" t="str">
        <f>KPIs!C16</f>
        <v>Training effectiveness (%)</v>
      </c>
      <c r="D16" s="267"/>
      <c r="E16" s="267"/>
      <c r="F16" s="26">
        <f>_xlfn.XLOOKUP($F$3,Months,KPIs!E16:P16)</f>
        <v>0.61129999999999995</v>
      </c>
      <c r="G16" s="24">
        <f>_xlfn.XLOOKUP($G$3,Months,KPIs!E16:P16)</f>
        <v>0.5998</v>
      </c>
      <c r="H16" s="24">
        <f t="shared" si="1"/>
        <v>1.9173057685895278E-2</v>
      </c>
    </row>
    <row r="17" spans="2:17" ht="15" thickBot="1" x14ac:dyDescent="0.35">
      <c r="B17" s="269"/>
      <c r="C17" s="268" t="str">
        <f>KPIs!C17</f>
        <v>Acceptance Ratio (%)</v>
      </c>
      <c r="D17" s="268"/>
      <c r="E17" s="268"/>
      <c r="F17" s="27">
        <f>_xlfn.XLOOKUP($F$3,Months,KPIs!E17:P17)</f>
        <v>0.9</v>
      </c>
      <c r="G17" s="25">
        <f>_xlfn.XLOOKUP($G$3,Months,KPIs!E17:P17)</f>
        <v>0.92</v>
      </c>
      <c r="H17" s="25">
        <f t="shared" si="1"/>
        <v>-2.1739130434782594E-2</v>
      </c>
    </row>
    <row r="18" spans="2:17" ht="15" thickTop="1" x14ac:dyDescent="0.3">
      <c r="B18" s="269"/>
      <c r="C18" s="267" t="s">
        <v>31</v>
      </c>
      <c r="D18" s="267"/>
      <c r="E18" s="267"/>
      <c r="F18" s="23">
        <f>_xlfn.XLOOKUP($F$3,Months,KPIs!E18:P18)</f>
        <v>20</v>
      </c>
      <c r="G18" s="23">
        <f>_xlfn.XLOOKUP($G$3,Months,KPIs!E18:P18)</f>
        <v>15</v>
      </c>
      <c r="H18" s="24">
        <f t="shared" si="1"/>
        <v>0.33333333333333326</v>
      </c>
    </row>
    <row r="19" spans="2:17" x14ac:dyDescent="0.3">
      <c r="B19" s="269"/>
      <c r="C19" s="267" t="s">
        <v>29</v>
      </c>
      <c r="D19" s="267"/>
      <c r="E19" s="267"/>
      <c r="F19" s="23">
        <f>_xlfn.XLOOKUP($F$3,Months,KPIs!E19:P19)</f>
        <v>15</v>
      </c>
      <c r="G19" s="23">
        <f>_xlfn.XLOOKUP($G$3,Months,KPIs!E19:P19)</f>
        <v>20</v>
      </c>
      <c r="H19" s="24">
        <f t="shared" si="1"/>
        <v>-0.25</v>
      </c>
    </row>
    <row r="20" spans="2:17" x14ac:dyDescent="0.3">
      <c r="B20" s="269"/>
      <c r="C20" s="267" t="s">
        <v>18</v>
      </c>
      <c r="D20" s="267"/>
      <c r="E20" s="267"/>
      <c r="F20" s="23">
        <f>_xlfn.XLOOKUP($F$3,Months,KPIs!E20:P20)</f>
        <v>35</v>
      </c>
      <c r="G20" s="23">
        <f>_xlfn.XLOOKUP($G$3,Months,KPIs!E20:P20)</f>
        <v>35</v>
      </c>
      <c r="H20" s="24">
        <f t="shared" si="1"/>
        <v>0</v>
      </c>
    </row>
    <row r="21" spans="2:17" ht="15" x14ac:dyDescent="0.3">
      <c r="B21" s="20"/>
      <c r="C21" s="21"/>
      <c r="D21" s="21"/>
      <c r="E21" s="21"/>
    </row>
    <row r="22" spans="2:17" ht="15" x14ac:dyDescent="0.3">
      <c r="B22" s="20"/>
      <c r="C22" s="21"/>
      <c r="D22" s="21"/>
      <c r="E22" s="21"/>
    </row>
    <row r="23" spans="2:17" x14ac:dyDescent="0.3">
      <c r="C23" s="14" t="s">
        <v>27</v>
      </c>
      <c r="D23" s="15" t="s">
        <v>21</v>
      </c>
      <c r="E23" s="14" t="s">
        <v>28</v>
      </c>
    </row>
    <row r="24" spans="2:17" x14ac:dyDescent="0.3">
      <c r="C24" s="6" t="s">
        <v>24</v>
      </c>
      <c r="D24" s="8">
        <f>KPIs!Q15</f>
        <v>0.16</v>
      </c>
      <c r="E24" s="8">
        <f>100%-D24</f>
        <v>0.84</v>
      </c>
      <c r="H24" s="11"/>
    </row>
    <row r="25" spans="2:17" x14ac:dyDescent="0.3">
      <c r="C25" s="6" t="s">
        <v>25</v>
      </c>
      <c r="D25" s="8">
        <f>KPIs!Q16</f>
        <v>0.61129999999999995</v>
      </c>
      <c r="E25" s="8">
        <f t="shared" ref="E25:E26" si="2">100%-D25</f>
        <v>0.38870000000000005</v>
      </c>
      <c r="H25" s="11"/>
    </row>
    <row r="26" spans="2:17" x14ac:dyDescent="0.3">
      <c r="C26" s="6" t="s">
        <v>26</v>
      </c>
      <c r="D26" s="8">
        <f>KPIs!Q17</f>
        <v>0.9</v>
      </c>
      <c r="E26" s="8">
        <f t="shared" si="2"/>
        <v>9.9999999999999978E-2</v>
      </c>
      <c r="H26" s="11"/>
    </row>
    <row r="27" spans="2:17" x14ac:dyDescent="0.3">
      <c r="H27" s="11"/>
    </row>
    <row r="28" spans="2:17" x14ac:dyDescent="0.3">
      <c r="B28" s="5"/>
      <c r="H28" s="13"/>
    </row>
    <row r="29" spans="2:17" x14ac:dyDescent="0.3">
      <c r="B29" s="5"/>
      <c r="C29" s="5"/>
      <c r="D29" s="5"/>
      <c r="E29" s="5"/>
      <c r="F29" s="5"/>
      <c r="H29" s="11"/>
    </row>
    <row r="30" spans="2:17" x14ac:dyDescent="0.3">
      <c r="B30" s="5"/>
      <c r="C30" s="5"/>
      <c r="D30" s="5"/>
      <c r="E30" s="5"/>
      <c r="F30" s="5"/>
      <c r="H30" s="11"/>
    </row>
    <row r="31" spans="2:17" x14ac:dyDescent="0.3">
      <c r="B31" s="5"/>
      <c r="C31" s="5"/>
      <c r="D31" s="5"/>
      <c r="E31" s="5"/>
      <c r="F31" s="5"/>
      <c r="H31" s="13"/>
    </row>
    <row r="32" spans="2:17" x14ac:dyDescent="0.3">
      <c r="B32" s="5"/>
      <c r="C32" s="5"/>
      <c r="D32" s="5"/>
      <c r="E32" s="5"/>
      <c r="F32" s="5"/>
      <c r="H32" s="11"/>
      <c r="I32" s="12"/>
      <c r="J32" s="12"/>
      <c r="K32" s="12"/>
      <c r="L32" s="12"/>
      <c r="M32" s="12"/>
      <c r="N32" s="12"/>
      <c r="O32" s="12"/>
      <c r="P32" s="10"/>
      <c r="Q32" s="12"/>
    </row>
    <row r="33" spans="2:17" x14ac:dyDescent="0.3">
      <c r="B33" s="5"/>
      <c r="C33" s="5"/>
      <c r="D33" s="5"/>
      <c r="E33" s="5"/>
      <c r="F33" s="5"/>
      <c r="H33" s="11"/>
      <c r="I33" s="12"/>
      <c r="J33" s="12"/>
      <c r="K33" s="12"/>
      <c r="L33" s="12"/>
      <c r="M33" s="12"/>
      <c r="N33" s="12"/>
      <c r="O33" s="12"/>
      <c r="P33" s="10"/>
      <c r="Q33" s="12"/>
    </row>
    <row r="34" spans="2:17" x14ac:dyDescent="0.3">
      <c r="B34" s="5"/>
      <c r="C34" s="5"/>
      <c r="D34" s="5"/>
      <c r="E34" s="5"/>
      <c r="F34" s="5"/>
      <c r="H34" s="13"/>
      <c r="I34" s="12"/>
      <c r="J34" s="12"/>
      <c r="K34" s="12"/>
      <c r="L34" s="12"/>
      <c r="M34" s="12"/>
      <c r="N34" s="12"/>
      <c r="O34" s="12"/>
      <c r="P34" s="10"/>
      <c r="Q34" s="12"/>
    </row>
    <row r="35" spans="2:17" x14ac:dyDescent="0.3">
      <c r="B35" s="5"/>
      <c r="C35" s="5"/>
      <c r="D35" s="5"/>
      <c r="E35" s="5"/>
      <c r="F35" s="5"/>
    </row>
    <row r="36" spans="2:17" x14ac:dyDescent="0.3">
      <c r="B36" s="5"/>
      <c r="C36" s="5"/>
      <c r="D36" s="5"/>
      <c r="E36" s="5"/>
      <c r="F36" s="5"/>
    </row>
    <row r="37" spans="2:17" x14ac:dyDescent="0.3">
      <c r="B37" s="5"/>
      <c r="C37" s="5"/>
      <c r="D37" s="5"/>
      <c r="E37" s="5"/>
      <c r="F37" s="5"/>
    </row>
    <row r="38" spans="2:17" ht="22.5" customHeight="1" x14ac:dyDescent="0.5">
      <c r="B38" s="5"/>
      <c r="C38" s="5"/>
      <c r="D38" s="5"/>
      <c r="E38" s="5"/>
      <c r="F38" s="5"/>
      <c r="H38" s="16"/>
    </row>
    <row r="39" spans="2:17" x14ac:dyDescent="0.3">
      <c r="B39" s="5"/>
      <c r="C39" s="5"/>
      <c r="D39" s="5"/>
      <c r="E39" s="5"/>
      <c r="F39" s="5"/>
    </row>
    <row r="40" spans="2:17" ht="15.75" customHeight="1" x14ac:dyDescent="0.5">
      <c r="B40" s="5"/>
      <c r="C40" s="5"/>
      <c r="D40" s="5"/>
      <c r="E40" s="5"/>
      <c r="F40" s="5"/>
      <c r="H40" s="16"/>
    </row>
    <row r="41" spans="2:17" x14ac:dyDescent="0.3">
      <c r="C41" s="5"/>
      <c r="D41" s="5"/>
      <c r="E41" s="5"/>
      <c r="F41" s="5"/>
    </row>
    <row r="43" spans="2:17" s="5" customFormat="1" x14ac:dyDescent="0.3">
      <c r="B43"/>
      <c r="C43"/>
      <c r="D43"/>
      <c r="E43"/>
      <c r="F43"/>
    </row>
    <row r="44" spans="2:17" s="5" customFormat="1" x14ac:dyDescent="0.3">
      <c r="B44"/>
      <c r="C44"/>
      <c r="D44"/>
      <c r="E44"/>
      <c r="F44"/>
    </row>
    <row r="45" spans="2:17" s="5" customFormat="1" x14ac:dyDescent="0.3">
      <c r="B45"/>
      <c r="C45"/>
      <c r="D45"/>
      <c r="E45"/>
      <c r="F45"/>
    </row>
    <row r="46" spans="2:17" s="5" customFormat="1" x14ac:dyDescent="0.3">
      <c r="B46"/>
      <c r="C46"/>
      <c r="D46"/>
      <c r="E46"/>
      <c r="F46"/>
    </row>
    <row r="47" spans="2:17" s="5" customFormat="1" x14ac:dyDescent="0.3">
      <c r="B47"/>
      <c r="C47"/>
      <c r="D47"/>
      <c r="E47"/>
      <c r="F47"/>
    </row>
    <row r="48" spans="2:17" s="5" customFormat="1" x14ac:dyDescent="0.3">
      <c r="B48"/>
      <c r="C48"/>
      <c r="D48"/>
      <c r="E48"/>
      <c r="F48"/>
    </row>
    <row r="49" spans="2:18" s="5" customFormat="1" x14ac:dyDescent="0.3">
      <c r="B49"/>
      <c r="C49"/>
      <c r="D49"/>
      <c r="E49"/>
      <c r="F49"/>
    </row>
    <row r="50" spans="2:18" s="5" customFormat="1" x14ac:dyDescent="0.3">
      <c r="B50"/>
      <c r="C50"/>
      <c r="D50"/>
      <c r="E50"/>
      <c r="F50"/>
    </row>
    <row r="51" spans="2:18" s="5" customFormat="1" x14ac:dyDescent="0.3">
      <c r="B51"/>
      <c r="C51"/>
      <c r="D51"/>
      <c r="E51"/>
      <c r="F51"/>
    </row>
    <row r="52" spans="2:18" s="5" customFormat="1" x14ac:dyDescent="0.3">
      <c r="B52"/>
      <c r="C52"/>
      <c r="D52"/>
      <c r="E52"/>
      <c r="F52"/>
    </row>
    <row r="53" spans="2:18" s="5" customFormat="1" x14ac:dyDescent="0.3">
      <c r="B53"/>
      <c r="C53"/>
      <c r="D53"/>
      <c r="E53"/>
      <c r="F53"/>
    </row>
    <row r="54" spans="2:18" s="5" customFormat="1" x14ac:dyDescent="0.3">
      <c r="B54"/>
      <c r="C54"/>
      <c r="D54"/>
      <c r="E54"/>
      <c r="F54"/>
    </row>
    <row r="55" spans="2:18" s="5" customFormat="1" ht="15" thickBot="1" x14ac:dyDescent="0.35">
      <c r="B55"/>
      <c r="C55"/>
      <c r="D55"/>
      <c r="E55"/>
      <c r="F55"/>
      <c r="R55" s="7"/>
    </row>
  </sheetData>
  <mergeCells count="19">
    <mergeCell ref="C16:E16"/>
    <mergeCell ref="C17:E17"/>
    <mergeCell ref="C13:E13"/>
    <mergeCell ref="B18:B20"/>
    <mergeCell ref="C18:E18"/>
    <mergeCell ref="C19:E19"/>
    <mergeCell ref="C20:E20"/>
    <mergeCell ref="B15:B17"/>
    <mergeCell ref="C15:E15"/>
    <mergeCell ref="R1:S2"/>
    <mergeCell ref="C4:E4"/>
    <mergeCell ref="C5:E5"/>
    <mergeCell ref="C6:E6"/>
    <mergeCell ref="C12:E12"/>
    <mergeCell ref="C7:E7"/>
    <mergeCell ref="C8:E8"/>
    <mergeCell ref="C9:E9"/>
    <mergeCell ref="C10:E10"/>
    <mergeCell ref="C11:E11"/>
  </mergeCells>
  <phoneticPr fontId="5" type="noConversion"/>
  <conditionalFormatting sqref="P32">
    <cfRule type="expression" dxfId="26" priority="50">
      <formula>$P$32&lt;0</formula>
    </cfRule>
    <cfRule type="expression" dxfId="25" priority="51">
      <formula>$P$32&gt;0</formula>
    </cfRule>
  </conditionalFormatting>
  <conditionalFormatting sqref="P33">
    <cfRule type="expression" dxfId="24" priority="46">
      <formula>$P$33&lt;0</formula>
    </cfRule>
    <cfRule type="expression" dxfId="23" priority="47">
      <formula>$P$33&gt;0</formula>
    </cfRule>
  </conditionalFormatting>
  <conditionalFormatting sqref="P34">
    <cfRule type="expression" dxfId="22" priority="42">
      <formula>$P$34&gt;0</formula>
    </cfRule>
    <cfRule type="expression" dxfId="21" priority="43">
      <formula>$P$34&lt;0</formula>
    </cfRule>
  </conditionalFormatting>
  <conditionalFormatting sqref="H4">
    <cfRule type="expression" dxfId="20" priority="1">
      <formula>$F$4=$G$4</formula>
    </cfRule>
    <cfRule type="expression" dxfId="19" priority="20">
      <formula>$F$4&lt;$G$4</formula>
    </cfRule>
    <cfRule type="expression" dxfId="18" priority="21">
      <formula>$F$4&gt;$G$4</formula>
    </cfRule>
  </conditionalFormatting>
  <conditionalFormatting sqref="H5">
    <cfRule type="expression" dxfId="17" priority="18">
      <formula>$H$5&gt;0</formula>
    </cfRule>
    <cfRule type="expression" dxfId="16" priority="19">
      <formula>$H$5&lt;0</formula>
    </cfRule>
  </conditionalFormatting>
  <conditionalFormatting sqref="H6">
    <cfRule type="expression" dxfId="15" priority="16">
      <formula>$H$6&lt;0</formula>
    </cfRule>
    <cfRule type="expression" dxfId="14" priority="17">
      <formula>$H$6&gt;0</formula>
    </cfRule>
  </conditionalFormatting>
  <conditionalFormatting sqref="H7">
    <cfRule type="expression" dxfId="13" priority="14">
      <formula>$F$7&lt;$G$7</formula>
    </cfRule>
    <cfRule type="expression" dxfId="12" priority="15">
      <formula>$F$7&gt;$G$7</formula>
    </cfRule>
  </conditionalFormatting>
  <conditionalFormatting sqref="H8:H9 H11:H13">
    <cfRule type="expression" dxfId="11" priority="12">
      <formula>$F$8&lt;$G$8</formula>
    </cfRule>
    <cfRule type="expression" dxfId="10" priority="13">
      <formula>$F$8&gt;$G$8</formula>
    </cfRule>
  </conditionalFormatting>
  <conditionalFormatting sqref="H9 H13">
    <cfRule type="expression" dxfId="9" priority="10">
      <formula>$F$9&lt;$G$9</formula>
    </cfRule>
    <cfRule type="expression" dxfId="8" priority="11">
      <formula>$F$9&gt;$G$9</formula>
    </cfRule>
  </conditionalFormatting>
  <conditionalFormatting sqref="H10">
    <cfRule type="expression" dxfId="7" priority="8">
      <formula>$F$10&lt;$G$10</formula>
    </cfRule>
    <cfRule type="expression" dxfId="6" priority="9">
      <formula>$F$10&gt;$G$10</formula>
    </cfRule>
  </conditionalFormatting>
  <conditionalFormatting sqref="H13">
    <cfRule type="expression" dxfId="5" priority="2">
      <formula>$F$13&lt;$G$13</formula>
    </cfRule>
    <cfRule type="expression" dxfId="4" priority="3">
      <formula>$F$13&gt;$G$13</formula>
    </cfRule>
  </conditionalFormatting>
  <conditionalFormatting sqref="H11:H13">
    <cfRule type="expression" dxfId="3" priority="68">
      <formula>$F$11&lt;$G$11</formula>
    </cfRule>
    <cfRule type="expression" dxfId="2" priority="69">
      <formula>$F$11&gt;$G$11</formula>
    </cfRule>
  </conditionalFormatting>
  <conditionalFormatting sqref="H12:H13">
    <cfRule type="expression" dxfId="1" priority="74">
      <formula>$F$12&lt;$G$12</formula>
    </cfRule>
    <cfRule type="expression" dxfId="0" priority="75">
      <formula>$F$12&gt;$G$12</formula>
    </cfRule>
  </conditionalFormatting>
  <pageMargins left="0.7" right="0.7" top="0.75" bottom="0.75" header="0.3" footer="0.3"/>
  <pageSetup orientation="portrait" horizontalDpi="1200" verticalDpi="1200" r:id="rId1"/>
  <drawing r:id="rId2"/>
</worksheet>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KPIs</vt:lpstr>
      <vt:lpstr>Variance Calculation</vt:lpstr>
      <vt:lpstr>Dashboard - HR Metrics</vt:lpstr>
      <vt:lpstr>Dashboard - Budget vs Actual</vt:lpstr>
      <vt:lpstr>Annual Budget</vt:lpstr>
      <vt:lpstr>Actuals</vt:lpstr>
      <vt:lpstr>calc</vt:lpstr>
      <vt:lpstr>Months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Excel365@bidashboard.onmicrosoft.com;ExcelKID LLC;Excel Dashboard School</dc:creator>
  <cp:lastModifiedBy>Joshua Johnson</cp:lastModifiedBy>
  <dcterms:created xsi:type="dcterms:W3CDTF">2016-06-07T02:04:43Z</dcterms:created>
  <dcterms:modified xsi:type="dcterms:W3CDTF">2023-03-22T03:15:30Z</dcterms:modified>
</cp:coreProperties>
</file>